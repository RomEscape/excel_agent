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c13730832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8b23d51eb8e4109"/>
    <x:sheet xmlns:r="http://schemas.openxmlformats.org/officeDocument/2006/relationships" name="Sales_Data" sheetId="2" r:id="Ra900ce534a07467d"/>
    <x:sheet xmlns:r="http://schemas.openxmlformats.org/officeDocument/2006/relationships" name="Inventory" sheetId="3" r:id="R5c45d493c8ff4078"/>
    <x:sheet xmlns:r="http://schemas.openxmlformats.org/officeDocument/2006/relationships" name="Project_Plan" sheetId="4" r:id="Re092912f23d74c17"/>
    <x:sheet xmlns:r="http://schemas.openxmlformats.org/officeDocument/2006/relationships" name="AI_Command_Center" sheetId="5" r:id="R0b5b3deb956e48ad"/>
    <x:sheet xmlns:r="http://schemas.openxmlformats.org/officeDocument/2006/relationships" name="Lookup" sheetId="6" r:id="R8701810f063f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#,##0&quot;원&quot;"/>
    <x:numFmt numFmtId="202" formatCode="0%"/>
    <x:numFmt numFmtId="203" formatCode="0.0%"/>
    <x:numFmt numFmtId="204" formatCode="0&quot;개&quot;"/>
    <x:numFmt numFmtId="205" formatCode="0&quot;건&quot;"/>
    <x:numFmt numFmtId="206" formatCode="yyyy-mm"/>
    <x:numFmt numFmtId="207" formatCode="@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sz val="11"/>
      <x:color rgb="FF17365D"/>
      <x:name val="Carlito"/>
    </x:font>
    <x:font>
      <x:b/>
      <x:sz val="11"/>
      <x:color rgb="FF5B6573"/>
      <x:name val="Carlito"/>
    </x:font>
    <x:font>
      <x:b/>
      <x:sz val="16"/>
      <x:color rgb="FF1F4E78"/>
      <x:name val="Carlito"/>
    </x:font>
    <x:font>
      <x:i/>
      <x:sz val="11"/>
      <x:color rgb="FF7F6000"/>
      <x:name val="Carlito"/>
    </x:font>
    <x:font>
      <x:sz val="9"/>
      <x:color rgb="FF333333"/>
      <x:name val="Consolas"/>
    </x:font>
  </x:fonts>
  <x:fills count="8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F7F7F7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 vertical="center"/>
    </x:xf>
    <x:xf numFmtId="204" fontId="4" fillId="5" borderId="0" xfId="0" applyNumberFormat="1" applyFont="1" applyFill="1" applyBorder="1" applyAlignment="1">
      <x:alignment horizontal="center" vertical="center"/>
    </x:xf>
    <x:xf numFmtId="204" fontId="4" fillId="5" borderId="1" xfId="0" applyNumberFormat="1" applyFont="1" applyFill="1" applyBorder="1" applyAlignment="1">
      <x:alignment horizontal="center" vertical="center"/>
    </x:xf>
    <x:xf numFmtId="205" fontId="4" fillId="5" borderId="0" xfId="0" applyNumberFormat="1" applyFont="1" applyFill="1" applyBorder="1" applyAlignment="1">
      <x:alignment horizontal="center" vertical="center"/>
    </x:xf>
    <x:xf numFmtId="205" fontId="4" fillId="5" borderId="1" xfId="0" applyNumberFormat="1" applyFont="1" applyFill="1" applyBorder="1" applyAlignment="1">
      <x:alignment horizontal="center" vertical="center"/>
    </x:xf>
    <x:xf numFmtId="201" fontId="6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203" fontId="6" fillId="5" borderId="0" xfId="0" applyNumberFormat="1" applyFont="1" applyFill="1" applyBorder="1" applyAlignment="1">
      <x:alignment horizontal="center" vertical="center"/>
    </x:xf>
    <x:xf numFmtId="204" fontId="6" fillId="5" borderId="0" xfId="0" applyNumberFormat="1" applyFont="1" applyFill="1" applyBorder="1" applyAlignment="1">
      <x:alignment horizontal="center" vertical="center"/>
    </x:xf>
    <x:xf numFmtId="205" fontId="6" fillId="5" borderId="0" xfId="0" applyNumberFormat="1" applyFont="1" applyFill="1" applyBorder="1" applyAlignment="1">
      <x:alignment horizontal="center" vertical="center"/>
    </x:xf>
    <x:xf numFmtId="201" fontId="6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horizontal="center" vertical="center"/>
    </x:xf>
    <x:xf numFmtId="203" fontId="6" fillId="5" borderId="1" xfId="0" applyNumberFormat="1" applyFont="1" applyFill="1" applyBorder="1" applyAlignment="1">
      <x:alignment horizontal="center" vertical="center"/>
    </x:xf>
    <x:xf numFmtId="204" fontId="6" fillId="5" borderId="1" xfId="0" applyNumberFormat="1" applyFont="1" applyFill="1" applyBorder="1" applyAlignment="1">
      <x:alignment horizontal="center" vertical="center"/>
    </x:xf>
    <x:xf numFmtId="205" fontId="6" fillId="5" borderId="1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1" fontId="6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203" fontId="6" fillId="5" borderId="0" xfId="0" applyNumberFormat="1" applyFont="1" applyFill="1" applyBorder="1" applyAlignment="1">
      <x:alignment horizontal="center" vertical="center" wrapText="1"/>
    </x:xf>
    <x:xf numFmtId="204" fontId="6" fillId="5" borderId="0" xfId="0" applyNumberFormat="1" applyFont="1" applyFill="1" applyBorder="1" applyAlignment="1">
      <x:alignment horizontal="center" vertical="center" wrapText="1"/>
    </x:xf>
    <x:xf numFmtId="205" fontId="6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1" fontId="6" fillId="5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3" fontId="6" fillId="5" borderId="1" xfId="0" applyNumberFormat="1" applyFont="1" applyFill="1" applyBorder="1" applyAlignment="1">
      <x:alignment horizontal="center" vertical="center" wrapText="1"/>
    </x:xf>
    <x:xf numFmtId="204" fontId="6" fillId="5" borderId="1" xfId="0" applyNumberFormat="1" applyFont="1" applyFill="1" applyBorder="1" applyAlignment="1">
      <x:alignment horizontal="center" vertical="center" wrapText="1"/>
    </x:xf>
    <x:xf numFmtId="205" fontId="6" fillId="5" borderId="1" xfId="0" applyNumberFormat="1" applyFont="1" applyFill="1" applyBorder="1" applyAlignment="1">
      <x:alignment horizontal="center" vertical="center" wrapText="1"/>
    </x:xf>
    <x:xf numFmtId="207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136e735adc428c" /><Relationship Type="http://schemas.openxmlformats.org/officeDocument/2006/relationships/theme" Target="/xl/theme/theme1.xml" Id="R3863732838ac4dd0" /><Relationship Type="http://schemas.openxmlformats.org/officeDocument/2006/relationships/sharedStrings" Target="/xl/sharedStrings.xml" Id="R74f1b5458fc74b6f" /><Relationship Type="http://schemas.openxmlformats.org/officeDocument/2006/relationships/worksheet" Target="/xl/worksheets/sheet1.xml" Id="Rf8b23d51eb8e4109" /><Relationship Type="http://schemas.openxmlformats.org/officeDocument/2006/relationships/worksheet" Target="/xl/worksheets/sheet2.xml" Id="Ra900ce534a07467d" /><Relationship Type="http://schemas.openxmlformats.org/officeDocument/2006/relationships/worksheet" Target="/xl/worksheets/sheet3.xml" Id="R5c45d493c8ff4078" /><Relationship Type="http://schemas.openxmlformats.org/officeDocument/2006/relationships/worksheet" Target="/xl/worksheets/sheet4.xml" Id="Re092912f23d74c17" /><Relationship Type="http://schemas.openxmlformats.org/officeDocument/2006/relationships/worksheet" Target="/xl/worksheets/sheet5.xml" Id="R0b5b3deb956e48ad" /><Relationship Type="http://schemas.openxmlformats.org/officeDocument/2006/relationships/worksheet" Target="/xl/worksheets/sheet6.xml" Id="R8701810f063f4a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9894e1baae4418" /><Relationship Type="http://schemas.openxmlformats.org/officeDocument/2006/relationships/chart" Target="/xl/drawings/charts/chart2.xml" Id="R7e1d3feb883846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2026 월별 매출 및 매출이익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#,##0"원"</c:formatCode>
                <c:ptCount val="0"/>
              </c:numCache>
            </c:numRef>
          </c:val>
          <c:smooth val="0"/>
        </c:ser>
        <c:ser>
          <c:idx val="1"/>
          <c:order val="1"/>
          <c:tx>
            <c:v>Gross_Profit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'Dashboard'!$C$12:$C$18</c:f>
              <c:numCache>
                <c:formatCode>#,##0"원"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-mm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지역별 매출·이익 비교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'Dashboard'!$A$23:$A$28</c:f>
              <c:strCache>
                <c:ptCount val="0"/>
              </c:strCache>
            </c:strRef>
          </c:cat>
          <c:val>
            <c:numRef>
              <c:f>'Dashboard'!$B$23:$B$28</c:f>
              <c:numCache>
                <c:formatCode>#,##0"원"</c:formatCode>
                <c:ptCount val="0"/>
              </c:numCache>
            </c:numRef>
          </c:val>
        </c:ser>
        <c:ser>
          <c:idx val="1"/>
          <c:order val="1"/>
          <c:tx>
            <c:v>Gross_Profit</c:v>
          </c:tx>
          <c:cat>
            <c:strRef>
              <c:f>'Dashboard'!$A$23:$A$28</c:f>
              <c:strCache>
                <c:ptCount val="0"/>
              </c:strCache>
            </c:strRef>
          </c:cat>
          <c:val>
            <c:numRef>
              <c:f>'Dashboard'!$C$23:$C$28</c:f>
              <c:numCache>
                <c:formatCode>#,##0"원"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9894e1baae4418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1d3feb8838469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Q181" headerRowCount="1">
  <x:tableColumns count="17">
    <x:tableColumn id="1" name="Order_ID"/>
    <x:tableColumn id="2" name="Order_Date"/>
    <x:tableColumn id="3" name="Customer"/>
    <x:tableColumn id="4" name="Region"/>
    <x:tableColumn id="5" name="Channel"/>
    <x:tableColumn id="6" name="SKU"/>
    <x:tableColumn id="7" name="Product"/>
    <x:tableColumn id="8" name="Category"/>
    <x:tableColumn id="9" name="Qty"/>
    <x:tableColumn id="10" name="Unit_Price"/>
    <x:tableColumn id="11" name="Discount"/>
    <x:tableColumn id="12" name="Sales"/>
    <x:tableColumn id="13" name="Unit_Cost"/>
    <x:tableColumn id="14" name="Gross_Profit"/>
    <x:tableColumn id="15" name="Profit_Margin"/>
    <x:tableColumn id="16" name="Status"/>
    <x:tableColumn id="17" name="Salesperson"/>
  </x:tableColumns>
  <x:tableStyleInfo name="TableStyleMedium2" showRowStripes="1"/>
</x:table>
</file>

<file path=xl/tables/table2.xml><?xml version="1.0" encoding="utf-8"?>
<x:table xmlns:x="http://schemas.openxmlformats.org/spreadsheetml/2006/main" id="2" name="InventoryTable" displayName="InventoryTable" ref="A1:K11" headerRowCount="1">
  <x:tableColumns count="11">
    <x:tableColumn id="1" name="SKU"/>
    <x:tableColumn id="2" name="Product"/>
    <x:tableColumn id="3" name="Category"/>
    <x:tableColumn id="4" name="Supplier"/>
    <x:tableColumn id="5" name="Current_Stock"/>
    <x:tableColumn id="6" name="Reorder_Point"/>
    <x:tableColumn id="7" name="Unit_Cost"/>
    <x:tableColumn id="8" name="Stock_Status"/>
    <x:tableColumn id="9" name="Recommended_Order_Qty"/>
    <x:tableColumn id="10" name="Inventory_Value"/>
    <x:tableColumn id="11" name="Last_Updated"/>
  </x:tableColumns>
  <x:tableStyleInfo name="TableStyleMedium2" showRowStripes="1"/>
</x:table>
</file>

<file path=xl/tables/table3.xml><?xml version="1.0" encoding="utf-8"?>
<x:table xmlns:x="http://schemas.openxmlformats.org/spreadsheetml/2006/main" id="3" name="ProjectTable" displayName="ProjectTable" ref="A1:L21" headerRowCount="1">
  <x:tableColumns count="12">
    <x:tableColumn id="1" name="Task_ID"/>
    <x:tableColumn id="2" name="Workstream"/>
    <x:tableColumn id="3" name="Task"/>
    <x:tableColumn id="4" name="Owner"/>
    <x:tableColumn id="5" name="Start_Date"/>
    <x:tableColumn id="6" name="Due_Date"/>
    <x:tableColumn id="7" name="Priority"/>
    <x:tableColumn id="8" name="Status"/>
    <x:tableColumn id="9" name="Progress"/>
    <x:tableColumn id="10" name="Days_Remaining"/>
    <x:tableColumn id="11" name="Schedule_Risk"/>
    <x:tableColumn id="12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8f976e59f244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850f7cc9f247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b358dcfbfa43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deec1799954ec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  <x:col min="9" max="9" width="11" hidden="0" customWidth="1"/>
    <x:col min="10" max="10" width="11" hidden="0" customWidth="1"/>
    <x:col min="11" max="11" width="14" hidden="0" customWidth="1"/>
    <x:col min="12" max="12" width="12" hidden="0" customWidth="1"/>
  </x:cols>
  <x:sheetData>
    <x:row r="1" ht="26" customHeight="1">
      <x:c r="A1" s="24" t="str">
        <x:v>AI 기반 통합 운영 대시보드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6" customHeight="1">
      <x:c r="A2" s="24"/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4">
      <x:c r="A4" s="32" t="str">
        <x:v>핵심 성과 지표</x:v>
      </x:c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</x:row>
    <x:row r="5">
      <x:c r="A5" s="87" t="str">
        <x:v>총 매출</x:v>
      </x:c>
      <x:c r="B5" s="88"/>
      <x:c r="C5" s="87" t="str">
        <x:v>총 매출이익</x:v>
      </x:c>
      <x:c r="D5" s="88"/>
      <x:c r="E5" s="87" t="str">
        <x:v>평균 주문금액</x:v>
      </x:c>
      <x:c r="F5" s="88"/>
      <x:c r="G5" s="87" t="str">
        <x:v>배송완료율</x:v>
      </x:c>
      <x:c r="H5" s="88"/>
      <x:c r="I5" s="87" t="str">
        <x:v>발주 필요 품목</x:v>
      </x:c>
      <x:c r="J5" s="88"/>
      <x:c r="K5" s="87" t="str">
        <x:v>지연 업무</x:v>
      </x:c>
      <x:c r="L5" s="88"/>
    </x:row>
    <x:row r="6">
      <x:c r="A6" s="89" t="n">
        <x:f>SUM(Sales_Data!L2:L181)</x:f>
        <x:v>733223910</x:v>
      </x:c>
      <x:c r="B6" s="90"/>
      <x:c r="C6" s="89" t="n">
        <x:f>SUM(Sales_Data!N2:N181)</x:f>
        <x:v>136593910</x:v>
      </x:c>
      <x:c r="D6" s="90"/>
      <x:c r="E6" s="89" t="n">
        <x:f>AVERAGE(Sales_Data!L2:L181)</x:f>
        <x:v>4073466.1666666665</x:v>
      </x:c>
      <x:c r="F6" s="90"/>
      <x:c r="G6" s="91" t="n">
        <x:f>COUNTIF(Sales_Data!P2:P181,"배송완료")/COUNTA(Sales_Data!A2:A181)</x:f>
        <x:v>0.5</x:v>
      </x:c>
      <x:c r="H6" s="90"/>
      <x:c r="I6" s="92" t="n">
        <x:f>COUNTIF(Inventory!H2:H11,"발주필요")</x:f>
        <x:v>2</x:v>
      </x:c>
      <x:c r="J6" s="90"/>
      <x:c r="K6" s="93" t="n">
        <x:f>COUNTIF(Project_Plan!K2:K21,"지연")</x:f>
        <x:v>5</x:v>
      </x:c>
      <x:c r="L6" s="90"/>
    </x:row>
    <x:row r="7">
      <x:c r="A7" s="88"/>
      <x:c r="B7" s="88"/>
      <x:c r="C7" s="88"/>
      <x:c r="D7" s="88"/>
      <x:c r="E7" s="88"/>
      <x:c r="F7" s="88"/>
      <x:c r="G7" s="88"/>
      <x:c r="H7" s="88"/>
      <x:c r="I7" s="88"/>
      <x:c r="J7" s="88"/>
      <x:c r="K7" s="88"/>
      <x:c r="L7" s="88"/>
    </x:row>
    <x:row r="10">
      <x:c r="A10" s="32" t="str">
        <x:v>월별 매출·이익 추이</x:v>
      </x:c>
      <x:c r="B10" s="32"/>
      <x:c r="C10" s="32"/>
      <x:c r="D10" s="32"/>
      <x:c r="E10" s="32"/>
      <x:c r="F10" s="32"/>
    </x:row>
    <x:row r="11">
      <x:c r="A11" s="6" t="str">
        <x:v>Month</x:v>
      </x:c>
      <x:c r="B11" s="6" t="str">
        <x:v>Revenue</x:v>
      </x:c>
      <x:c r="C11" s="6" t="str">
        <x:v>Gross_Profit</x:v>
      </x:c>
      <x:c r="D11" s="6" t="str">
        <x:v>Order_Count</x:v>
      </x:c>
    </x:row>
    <x:row r="12">
      <x:c r="A12" s="101" t="str">
        <x:v>2026-01</x:v>
      </x:c>
      <x:c r="B12" s="15" t="n">
        <x:f>SUMIFS(Sales_Data!$L$2:$L$181,Sales_Data!$B$2:$B$181,"&gt;="&amp;DATE(VALUE(LEFT(A12,4)),VALUE(RIGHT(A12,2)),1),Sales_Data!$B$2:$B$181,"&lt;"&amp;EDATE(DATE(VALUE(LEFT(A12,4)),VALUE(RIGHT(A12,2)),1),1))</x:f>
        <x:v>161320640</x:v>
      </x:c>
      <x:c r="C12" s="15" t="n">
        <x:f>SUMIFS(Sales_Data!$N$2:$N$181,Sales_Data!$B$2:$B$181,"&gt;="&amp;DATE(VALUE(LEFT(A12,4)),VALUE(RIGHT(A12,2)),1),Sales_Data!$B$2:$B$181,"&lt;"&amp;EDATE(DATE(VALUE(LEFT(A12,4)),VALUE(RIGHT(A12,2)),1),1))</x:f>
        <x:v>25683640</x:v>
      </x:c>
      <x:c r="D12" s="67" t="n">
        <x:f>COUNTIFS(Sales_Data!$B$2:$B$181,"&gt;="&amp;DATE(VALUE(LEFT(A12,4)),VALUE(RIGHT(A12,2)),1),Sales_Data!$B$2:$B$181,"&lt;"&amp;EDATE(DATE(VALUE(LEFT(A12,4)),VALUE(RIGHT(A12,2)),1),1))</x:f>
        <x:v>38</x:v>
      </x:c>
    </x:row>
    <x:row r="13">
      <x:c r="A13" s="101" t="str">
        <x:v>2026-02</x:v>
      </x:c>
      <x:c r="B13" s="15" t="n">
        <x:f>SUMIFS(Sales_Data!$L$2:$L$181,Sales_Data!$B$2:$B$181,"&gt;="&amp;DATE(VALUE(LEFT(A13,4)),VALUE(RIGHT(A13,2)),1),Sales_Data!$B$2:$B$181,"&lt;"&amp;EDATE(DATE(VALUE(LEFT(A13,4)),VALUE(RIGHT(A13,2)),1),1))</x:f>
        <x:v>64887770</x:v>
      </x:c>
      <x:c r="C13" s="15" t="n">
        <x:f>SUMIFS(Sales_Data!$N$2:$N$181,Sales_Data!$B$2:$B$181,"&gt;="&amp;DATE(VALUE(LEFT(A13,4)),VALUE(RIGHT(A13,2)),1),Sales_Data!$B$2:$B$181,"&lt;"&amp;EDATE(DATE(VALUE(LEFT(A13,4)),VALUE(RIGHT(A13,2)),1),1))</x:f>
        <x:v>15315770</x:v>
      </x:c>
      <x:c r="D13" s="67" t="n">
        <x:f>COUNTIFS(Sales_Data!$B$2:$B$181,"&gt;="&amp;DATE(VALUE(LEFT(A13,4)),VALUE(RIGHT(A13,2)),1),Sales_Data!$B$2:$B$181,"&lt;"&amp;EDATE(DATE(VALUE(LEFT(A13,4)),VALUE(RIGHT(A13,2)),1),1))</x:f>
        <x:v>25</x:v>
      </x:c>
    </x:row>
    <x:row r="14">
      <x:c r="A14" s="101" t="str">
        <x:v>2026-03</x:v>
      </x:c>
      <x:c r="B14" s="15" t="n">
        <x:f>SUMIFS(Sales_Data!$L$2:$L$181,Sales_Data!$B$2:$B$181,"&gt;="&amp;DATE(VALUE(LEFT(A14,4)),VALUE(RIGHT(A14,2)),1),Sales_Data!$B$2:$B$181,"&lt;"&amp;EDATE(DATE(VALUE(LEFT(A14,4)),VALUE(RIGHT(A14,2)),1),1))</x:f>
        <x:v>103812140</x:v>
      </x:c>
      <x:c r="C14" s="15" t="n">
        <x:f>SUMIFS(Sales_Data!$N$2:$N$181,Sales_Data!$B$2:$B$181,"&gt;="&amp;DATE(VALUE(LEFT(A14,4)),VALUE(RIGHT(A14,2)),1),Sales_Data!$B$2:$B$181,"&lt;"&amp;EDATE(DATE(VALUE(LEFT(A14,4)),VALUE(RIGHT(A14,2)),1),1))</x:f>
        <x:v>22503140</x:v>
      </x:c>
      <x:c r="D14" s="67" t="n">
        <x:f>COUNTIFS(Sales_Data!$B$2:$B$181,"&gt;="&amp;DATE(VALUE(LEFT(A14,4)),VALUE(RIGHT(A14,2)),1),Sales_Data!$B$2:$B$181,"&lt;"&amp;EDATE(DATE(VALUE(LEFT(A14,4)),VALUE(RIGHT(A14,2)),1),1))</x:f>
        <x:v>28</x:v>
      </x:c>
    </x:row>
    <x:row r="15">
      <x:c r="A15" s="101" t="str">
        <x:v>2026-04</x:v>
      </x:c>
      <x:c r="B15" s="15" t="n">
        <x:f>SUMIFS(Sales_Data!$L$2:$L$181,Sales_Data!$B$2:$B$181,"&gt;="&amp;DATE(VALUE(LEFT(A15,4)),VALUE(RIGHT(A15,2)),1),Sales_Data!$B$2:$B$181,"&lt;"&amp;EDATE(DATE(VALUE(LEFT(A15,4)),VALUE(RIGHT(A15,2)),1),1))</x:f>
        <x:v>105539550</x:v>
      </x:c>
      <x:c r="C15" s="15" t="n">
        <x:f>SUMIFS(Sales_Data!$N$2:$N$181,Sales_Data!$B$2:$B$181,"&gt;="&amp;DATE(VALUE(LEFT(A15,4)),VALUE(RIGHT(A15,2)),1),Sales_Data!$B$2:$B$181,"&lt;"&amp;EDATE(DATE(VALUE(LEFT(A15,4)),VALUE(RIGHT(A15,2)),1),1))</x:f>
        <x:v>16896550</x:v>
      </x:c>
      <x:c r="D15" s="67" t="n">
        <x:f>COUNTIFS(Sales_Data!$B$2:$B$181,"&gt;="&amp;DATE(VALUE(LEFT(A15,4)),VALUE(RIGHT(A15,2)),1),Sales_Data!$B$2:$B$181,"&lt;"&amp;EDATE(DATE(VALUE(LEFT(A15,4)),VALUE(RIGHT(A15,2)),1),1))</x:f>
        <x:v>24</x:v>
      </x:c>
    </x:row>
    <x:row r="16">
      <x:c r="A16" s="101" t="str">
        <x:v>2026-05</x:v>
      </x:c>
      <x:c r="B16" s="15" t="n">
        <x:f>SUMIFS(Sales_Data!$L$2:$L$181,Sales_Data!$B$2:$B$181,"&gt;="&amp;DATE(VALUE(LEFT(A16,4)),VALUE(RIGHT(A16,2)),1),Sales_Data!$B$2:$B$181,"&lt;"&amp;EDATE(DATE(VALUE(LEFT(A16,4)),VALUE(RIGHT(A16,2)),1),1))</x:f>
        <x:v>97179980</x:v>
      </x:c>
      <x:c r="C16" s="15" t="n">
        <x:f>SUMIFS(Sales_Data!$N$2:$N$181,Sales_Data!$B$2:$B$181,"&gt;="&amp;DATE(VALUE(LEFT(A16,4)),VALUE(RIGHT(A16,2)),1),Sales_Data!$B$2:$B$181,"&lt;"&amp;EDATE(DATE(VALUE(LEFT(A16,4)),VALUE(RIGHT(A16,2)),1),1))</x:f>
        <x:v>22492980</x:v>
      </x:c>
      <x:c r="D16" s="67" t="n">
        <x:f>COUNTIFS(Sales_Data!$B$2:$B$181,"&gt;="&amp;DATE(VALUE(LEFT(A16,4)),VALUE(RIGHT(A16,2)),1),Sales_Data!$B$2:$B$181,"&lt;"&amp;EDATE(DATE(VALUE(LEFT(A16,4)),VALUE(RIGHT(A16,2)),1),1))</x:f>
        <x:v>23</x:v>
      </x:c>
    </x:row>
    <x:row r="17">
      <x:c r="A17" s="101" t="str">
        <x:v>2026-06</x:v>
      </x:c>
      <x:c r="B17" s="15" t="n">
        <x:f>SUMIFS(Sales_Data!$L$2:$L$181,Sales_Data!$B$2:$B$181,"&gt;="&amp;DATE(VALUE(LEFT(A17,4)),VALUE(RIGHT(A17,2)),1),Sales_Data!$B$2:$B$181,"&lt;"&amp;EDATE(DATE(VALUE(LEFT(A17,4)),VALUE(RIGHT(A17,2)),1),1))</x:f>
        <x:v>85230130</x:v>
      </x:c>
      <x:c r="C17" s="15" t="n">
        <x:f>SUMIFS(Sales_Data!$N$2:$N$181,Sales_Data!$B$2:$B$181,"&gt;="&amp;DATE(VALUE(LEFT(A17,4)),VALUE(RIGHT(A17,2)),1),Sales_Data!$B$2:$B$181,"&lt;"&amp;EDATE(DATE(VALUE(LEFT(A17,4)),VALUE(RIGHT(A17,2)),1),1))</x:f>
        <x:v>11536130</x:v>
      </x:c>
      <x:c r="D17" s="67" t="n">
        <x:f>COUNTIFS(Sales_Data!$B$2:$B$181,"&gt;="&amp;DATE(VALUE(LEFT(A17,4)),VALUE(RIGHT(A17,2)),1),Sales_Data!$B$2:$B$181,"&lt;"&amp;EDATE(DATE(VALUE(LEFT(A17,4)),VALUE(RIGHT(A17,2)),1),1))</x:f>
        <x:v>22</x:v>
      </x:c>
    </x:row>
    <x:row r="18">
      <x:c r="A18" s="101" t="str">
        <x:v>2026-07</x:v>
      </x:c>
      <x:c r="B18" s="15" t="n">
        <x:f>SUMIFS(Sales_Data!$L$2:$L$181,Sales_Data!$B$2:$B$181,"&gt;="&amp;DATE(VALUE(LEFT(A18,4)),VALUE(RIGHT(A18,2)),1),Sales_Data!$B$2:$B$181,"&lt;"&amp;EDATE(DATE(VALUE(LEFT(A18,4)),VALUE(RIGHT(A18,2)),1),1))</x:f>
        <x:v>115253700</x:v>
      </x:c>
      <x:c r="C18" s="15" t="n">
        <x:f>SUMIFS(Sales_Data!$N$2:$N$181,Sales_Data!$B$2:$B$181,"&gt;="&amp;DATE(VALUE(LEFT(A18,4)),VALUE(RIGHT(A18,2)),1),Sales_Data!$B$2:$B$181,"&lt;"&amp;EDATE(DATE(VALUE(LEFT(A18,4)),VALUE(RIGHT(A18,2)),1),1))</x:f>
        <x:v>22165700</x:v>
      </x:c>
      <x:c r="D18" s="67" t="n">
        <x:f>COUNTIFS(Sales_Data!$B$2:$B$181,"&gt;="&amp;DATE(VALUE(LEFT(A18,4)),VALUE(RIGHT(A18,2)),1),Sales_Data!$B$2:$B$181,"&lt;"&amp;EDATE(DATE(VALUE(LEFT(A18,4)),VALUE(RIGHT(A18,2)),1),1))</x:f>
        <x:v>20</x:v>
      </x:c>
    </x:row>
    <x:row r="21">
      <x:c r="A21" s="32" t="str">
        <x:v>지역별 실적</x:v>
      </x:c>
      <x:c r="B21" s="32"/>
      <x:c r="C21" s="32"/>
      <x:c r="D21" s="32"/>
      <x:c r="E21" s="32"/>
      <x:c r="F21" s="32"/>
      <x:c r="G21" s="32" t="str">
        <x:v>재고 경고 목록</x:v>
      </x:c>
      <x:c r="H21" s="32"/>
      <x:c r="I21" s="32"/>
      <x:c r="J21" s="32"/>
      <x:c r="K21" s="32"/>
      <x:c r="L21" s="32"/>
    </x:row>
    <x:row r="22">
      <x:c r="A22" s="6" t="str">
        <x:v>Region</x:v>
      </x:c>
      <x:c r="B22" s="6" t="str">
        <x:v>Revenue</x:v>
      </x:c>
      <x:c r="C22" s="6" t="str">
        <x:v>Gross_Profit</x:v>
      </x:c>
      <x:c r="D22" s="6" t="str">
        <x:v>Profit_Margin</x:v>
      </x:c>
      <x:c r="G22" s="6" t="str">
        <x:v>SKU</x:v>
      </x:c>
      <x:c r="H22" s="6" t="str">
        <x:v>Product</x:v>
      </x:c>
      <x:c r="I22" s="6" t="str">
        <x:v>Current</x:v>
      </x:c>
      <x:c r="J22" s="6" t="str">
        <x:v>Reorder</x:v>
      </x:c>
      <x:c r="K22" s="6" t="str">
        <x:v>Status</x:v>
      </x:c>
      <x:c r="L22" s="6" t="str">
        <x:v>Order_Qty</x:v>
      </x:c>
    </x:row>
    <x:row r="23">
      <x:c r="A23" s="12" t="str">
        <x:v>서울</x:v>
      </x:c>
      <x:c r="B23" s="15" t="n">
        <x:f>SUMIF(Sales_Data!$D$2:$D$181,A23,Sales_Data!$L$2:$L$181)</x:f>
        <x:v>159212170</x:v>
      </x:c>
      <x:c r="C23" s="15" t="n">
        <x:f>SUMIF(Sales_Data!$D$2:$D$181,A23,Sales_Data!$N$2:$N$181)</x:f>
        <x:v>30000170</x:v>
      </x:c>
      <x:c r="D23" s="19" t="n">
        <x:f>IFERROR(C23/B23,0)</x:f>
        <x:v>0.18842887450123944</x:v>
      </x:c>
      <x:c r="G23" s="12" t="str">
        <x:f>Inventory!A2</x:f>
        <x:v>NB-001</x:v>
      </x:c>
      <x:c r="H23" s="12" t="str">
        <x:f>Inventory!B2</x:f>
        <x:v>NovaBook Air 14</x:v>
      </x:c>
      <x:c r="I23" s="12" t="n">
        <x:f>Inventory!E2</x:f>
        <x:v>62</x:v>
      </x:c>
      <x:c r="J23" s="12" t="n">
        <x:f>Inventory!F2</x:f>
        <x:v>15</x:v>
      </x:c>
      <x:c r="K23" s="12" t="str">
        <x:f>Inventory!H2</x:f>
        <x:v>정상</x:v>
      </x:c>
      <x:c r="L23" s="12" t="n">
        <x:f>Inventory!I2</x:f>
        <x:v>0</x:v>
      </x:c>
    </x:row>
    <x:row r="24">
      <x:c r="A24" s="12" t="str">
        <x:v>경기</x:v>
      </x:c>
      <x:c r="B24" s="15" t="n">
        <x:f>SUMIF(Sales_Data!$D$2:$D$181,A24,Sales_Data!$L$2:$L$181)</x:f>
        <x:v>97186650</x:v>
      </x:c>
      <x:c r="C24" s="15" t="n">
        <x:f>SUMIF(Sales_Data!$D$2:$D$181,A24,Sales_Data!$N$2:$N$181)</x:f>
        <x:v>20294650</x:v>
      </x:c>
      <x:c r="D24" s="19" t="n">
        <x:f>IFERROR(C24/B24,0)</x:f>
        <x:v>0.20882137618695573</x:v>
      </x:c>
      <x:c r="G24" s="12" t="str">
        <x:f>Inventory!A3</x:f>
        <x:v>NB-002</x:v>
      </x:c>
      <x:c r="H24" s="12" t="str">
        <x:f>Inventory!B3</x:f>
        <x:v>NovaBook Pro 16</x:v>
      </x:c>
      <x:c r="I24" s="12" t="n">
        <x:f>Inventory!E3</x:f>
        <x:v>52</x:v>
      </x:c>
      <x:c r="J24" s="12" t="n">
        <x:f>Inventory!F3</x:f>
        <x:v>25</x:v>
      </x:c>
      <x:c r="K24" s="12" t="str">
        <x:f>Inventory!H3</x:f>
        <x:v>정상</x:v>
      </x:c>
      <x:c r="L24" s="12" t="n">
        <x:f>Inventory!I3</x:f>
        <x:v>0</x:v>
      </x:c>
    </x:row>
    <x:row r="25">
      <x:c r="A25" s="12" t="str">
        <x:v>충청</x:v>
      </x:c>
      <x:c r="B25" s="15" t="n">
        <x:f>SUMIF(Sales_Data!$D$2:$D$181,A25,Sales_Data!$L$2:$L$181)</x:f>
        <x:v>141328520</x:v>
      </x:c>
      <x:c r="C25" s="15" t="n">
        <x:f>SUMIF(Sales_Data!$D$2:$D$181,A25,Sales_Data!$N$2:$N$181)</x:f>
        <x:v>25943520</x:v>
      </x:c>
      <x:c r="D25" s="19" t="n">
        <x:f>IFERROR(C25/B25,0)</x:f>
        <x:v>0.18356889324249628</x:v>
      </x:c>
      <x:c r="G25" s="12" t="str">
        <x:f>Inventory!A4</x:f>
        <x:v>MN-001</x:v>
      </x:c>
      <x:c r="H25" s="12" t="str">
        <x:f>Inventory!B4</x:f>
        <x:v>Vision 27Q</x:v>
      </x:c>
      <x:c r="I25" s="12" t="n">
        <x:f>Inventory!E4</x:f>
        <x:v>87</x:v>
      </x:c>
      <x:c r="J25" s="12" t="n">
        <x:f>Inventory!F4</x:f>
        <x:v>15</x:v>
      </x:c>
      <x:c r="K25" s="12" t="str">
        <x:f>Inventory!H4</x:f>
        <x:v>정상</x:v>
      </x:c>
      <x:c r="L25" s="12" t="n">
        <x:f>Inventory!I4</x:f>
        <x:v>0</x:v>
      </x:c>
    </x:row>
    <x:row r="26">
      <x:c r="A26" s="12" t="str">
        <x:v>영남</x:v>
      </x:c>
      <x:c r="B26" s="15" t="n">
        <x:f>SUMIF(Sales_Data!$D$2:$D$181,A26,Sales_Data!$L$2:$L$181)</x:f>
        <x:v>120192600</x:v>
      </x:c>
      <x:c r="C26" s="15" t="n">
        <x:f>SUMIF(Sales_Data!$D$2:$D$181,A26,Sales_Data!$N$2:$N$181)</x:f>
        <x:v>21668600</x:v>
      </x:c>
      <x:c r="D26" s="19" t="n">
        <x:f>IFERROR(C26/B26,0)</x:f>
        <x:v>0.18028231355341343</x:v>
      </x:c>
      <x:c r="G26" s="12" t="str">
        <x:f>Inventory!A5</x:f>
        <x:v>MN-002</x:v>
      </x:c>
      <x:c r="H26" s="12" t="str">
        <x:f>Inventory!B5</x:f>
        <x:v>Vision UltraWide 34</x:v>
      </x:c>
      <x:c r="I26" s="12" t="n">
        <x:f>Inventory!E5</x:f>
        <x:v>81</x:v>
      </x:c>
      <x:c r="J26" s="12" t="n">
        <x:f>Inventory!F5</x:f>
        <x:v>40</x:v>
      </x:c>
      <x:c r="K26" s="12" t="str">
        <x:f>Inventory!H5</x:f>
        <x:v>정상</x:v>
      </x:c>
      <x:c r="L26" s="12" t="n">
        <x:f>Inventory!I5</x:f>
        <x:v>0</x:v>
      </x:c>
    </x:row>
    <x:row r="27">
      <x:c r="A27" s="12" t="str">
        <x:v>호남</x:v>
      </x:c>
      <x:c r="B27" s="15" t="n">
        <x:f>SUMIF(Sales_Data!$D$2:$D$181,A27,Sales_Data!$L$2:$L$181)</x:f>
        <x:v>114269280</x:v>
      </x:c>
      <x:c r="C27" s="15" t="n">
        <x:f>SUMIF(Sales_Data!$D$2:$D$181,A27,Sales_Data!$N$2:$N$181)</x:f>
        <x:v>20905280</x:v>
      </x:c>
      <x:c r="D27" s="19" t="n">
        <x:f>IFERROR(C27/B27,0)</x:f>
        <x:v>0.18294750785162905</x:v>
      </x:c>
      <x:c r="G27" s="12" t="str">
        <x:f>Inventory!A6</x:f>
        <x:v>AC-001</x:v>
      </x:c>
      <x:c r="H27" s="12" t="str">
        <x:f>Inventory!B6</x:f>
        <x:v>Mechanical Keyboard</x:v>
      </x:c>
      <x:c r="I27" s="12" t="n">
        <x:f>Inventory!E6</x:f>
        <x:v>64</x:v>
      </x:c>
      <x:c r="J27" s="12" t="n">
        <x:f>Inventory!F6</x:f>
        <x:v>40</x:v>
      </x:c>
      <x:c r="K27" s="12" t="str">
        <x:f>Inventory!H6</x:f>
        <x:v>정상</x:v>
      </x:c>
      <x:c r="L27" s="12" t="n">
        <x:f>Inventory!I6</x:f>
        <x:v>16</x:v>
      </x:c>
    </x:row>
    <x:row r="28">
      <x:c r="A28" s="12" t="str">
        <x:v>강원</x:v>
      </x:c>
      <x:c r="B28" s="15" t="n">
        <x:f>SUMIF(Sales_Data!$D$2:$D$181,A28,Sales_Data!$L$2:$L$181)</x:f>
        <x:v>101034690</x:v>
      </x:c>
      <x:c r="C28" s="15" t="n">
        <x:f>SUMIF(Sales_Data!$D$2:$D$181,A28,Sales_Data!$N$2:$N$181)</x:f>
        <x:v>17781690</x:v>
      </x:c>
      <x:c r="D28" s="19" t="n">
        <x:f>IFERROR(C28/B28,0)</x:f>
        <x:v>0.17599588814495298</x:v>
      </x:c>
      <x:c r="G28" s="12" t="str">
        <x:f>Inventory!A7</x:f>
        <x:v>AC-002</x:v>
      </x:c>
      <x:c r="H28" s="12" t="str">
        <x:f>Inventory!B7</x:f>
        <x:v>Wireless Mouse</x:v>
      </x:c>
      <x:c r="I28" s="12" t="n">
        <x:f>Inventory!E7</x:f>
        <x:v>10</x:v>
      </x:c>
      <x:c r="J28" s="12" t="n">
        <x:f>Inventory!F7</x:f>
        <x:v>30</x:v>
      </x:c>
      <x:c r="K28" s="12" t="str">
        <x:f>Inventory!H7</x:f>
        <x:v>발주필요</x:v>
      </x:c>
      <x:c r="L28" s="12" t="n">
        <x:f>Inventory!I7</x:f>
        <x:v>50</x:v>
      </x:c>
    </x:row>
    <x:row r="29">
      <x:c r="G29" s="12" t="str">
        <x:f>Inventory!A8</x:f>
        <x:v>AC-003</x:v>
      </x:c>
      <x:c r="H29" s="12" t="str">
        <x:f>Inventory!B8</x:f>
        <x:v>USB-C Dock</x:v>
      </x:c>
      <x:c r="I29" s="12" t="n">
        <x:f>Inventory!E8</x:f>
        <x:v>88</x:v>
      </x:c>
      <x:c r="J29" s="12" t="n">
        <x:f>Inventory!F8</x:f>
        <x:v>20</x:v>
      </x:c>
      <x:c r="K29" s="12" t="str">
        <x:f>Inventory!H8</x:f>
        <x:v>정상</x:v>
      </x:c>
      <x:c r="L29" s="12" t="n">
        <x:f>Inventory!I8</x:f>
        <x:v>0</x:v>
      </x:c>
    </x:row>
    <x:row r="30">
      <x:c r="G30" s="12" t="str">
        <x:f>Inventory!A9</x:f>
        <x:v>SW-001</x:v>
      </x:c>
      <x:c r="H30" s="12" t="str">
        <x:f>Inventory!B9</x:f>
        <x:v>Office Suite Annual</x:v>
      </x:c>
      <x:c r="I30" s="12" t="n">
        <x:f>Inventory!E9</x:f>
        <x:v>82</x:v>
      </x:c>
      <x:c r="J30" s="12" t="n">
        <x:f>Inventory!F9</x:f>
        <x:v>30</x:v>
      </x:c>
      <x:c r="K30" s="12" t="str">
        <x:f>Inventory!H9</x:f>
        <x:v>정상</x:v>
      </x:c>
      <x:c r="L30" s="12" t="n">
        <x:f>Inventory!I9</x:f>
        <x:v>0</x:v>
      </x:c>
    </x:row>
    <x:row r="32">
      <x:c r="A32" s="32" t="str">
        <x:v>AI 자동화 적용 효과</x:v>
      </x:c>
      <x:c r="B32" s="32"/>
      <x:c r="C32" s="32"/>
      <x:c r="D32" s="32"/>
    </x:row>
    <x:row r="33">
      <x:c r="A33" s="6" t="str">
        <x:v>항목</x:v>
      </x:c>
      <x:c r="B33" s="6" t="str">
        <x:v>수동 작업</x:v>
      </x:c>
      <x:c r="C33" s="6" t="str">
        <x:v>AI+xlwings</x:v>
      </x:c>
      <x:c r="D33" s="6" t="str">
        <x:v>효과</x:v>
      </x:c>
    </x:row>
    <x:row r="34">
      <x:c r="A34" s="12" t="str">
        <x:v>지역별 집계</x:v>
      </x:c>
      <x:c r="B34" s="12" t="str">
        <x:v>필터·SUMIFS 직접 작성</x:v>
      </x:c>
      <x:c r="C34" s="12" t="str">
        <x:v>명령 1회</x:v>
      </x:c>
      <x:c r="D34" s="12" t="str">
        <x:v>반복 업무 단축</x:v>
      </x:c>
    </x:row>
    <x:row r="35">
      <x:c r="A35" s="12" t="str">
        <x:v>재고 경고</x:v>
      </x:c>
      <x:c r="B35" s="12" t="str">
        <x:v>행별 수동 확인</x:v>
      </x:c>
      <x:c r="C35" s="12" t="str">
        <x:v>조건식 자동 적용</x:v>
      </x:c>
      <x:c r="D35" s="12" t="str">
        <x:v>누락 방지</x:v>
      </x:c>
    </x:row>
    <x:row r="36">
      <x:c r="A36" s="12" t="str">
        <x:v>차트 갱신</x:v>
      </x:c>
      <x:c r="B36" s="12" t="str">
        <x:v>범위 재선택</x:v>
      </x:c>
      <x:c r="C36" s="12" t="str">
        <x:v>데이터 범위 자동 탐색</x:v>
      </x:c>
      <x:c r="D36" s="12" t="str">
        <x:v>보고서 표준화</x:v>
      </x:c>
    </x:row>
    <x:row r="37">
      <x:c r="A37" s="12" t="str">
        <x:v>오류 검사</x:v>
      </x:c>
      <x:c r="B37" s="12" t="str">
        <x:v>육안 검토</x:v>
      </x:c>
      <x:c r="C37" s="12" t="str">
        <x:v>중복·빈값 규칙 검사</x:v>
      </x:c>
      <x:c r="D37" s="12" t="str">
        <x:v>품질 향상</x:v>
      </x:c>
    </x:row>
  </x:sheetData>
  <x:mergeCells>
    <x:mergeCell ref="A1:L2"/>
    <x:mergeCell ref="A4:L4"/>
    <x:mergeCell ref="A10:F10"/>
    <x:mergeCell ref="A21:F21"/>
    <x:mergeCell ref="G21:L21"/>
    <x:mergeCell ref="A32:D32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</x:mergeCells>
  <x:conditionalFormatting sqref="K23:K30">
    <x:cfRule type="expression" dxfId="4" priority="1">
      <x:formula>K23="발주필요"</x:formula>
    </x:cfRule>
  </x:conditionalFormatting>
  <x:pageMargins left="0.7" right="0.7" top="0.75" bottom="0.75" header="0.3" footer="0.3"/>
  <x:drawing xmlns:r="http://schemas.openxmlformats.org/officeDocument/2006/relationships" r:id="Rfb8f976e59f2441d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1" hidden="0" customWidth="1"/>
    <x:col min="7" max="7" width="22" hidden="0" customWidth="1"/>
    <x:col min="8" max="8" width="12" hidden="0" customWidth="1"/>
    <x:col min="9" max="9" width="8" hidden="0" customWidth="1"/>
    <x:col min="10" max="10" width="14" hidden="0" customWidth="1"/>
    <x:col min="11" max="11" width="10" hidden="0" customWidth="1"/>
    <x:col min="12" max="12" width="15" hidden="0" customWidth="1"/>
    <x:col min="13" max="13" width="15" hidden="0" customWidth="1"/>
    <x:col min="14" max="14" width="15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6" t="str">
        <x:v>Order_ID</x:v>
      </x:c>
      <x:c r="B1" s="6" t="str">
        <x:v>Order_Date</x:v>
      </x:c>
      <x:c r="C1" s="6" t="str">
        <x:v>Customer</x:v>
      </x:c>
      <x:c r="D1" s="6" t="str">
        <x:v>Region</x:v>
      </x:c>
      <x:c r="E1" s="6" t="str">
        <x:v>Channel</x:v>
      </x:c>
      <x:c r="F1" s="6" t="str">
        <x:v>SKU</x:v>
      </x:c>
      <x:c r="G1" s="6" t="str">
        <x:v>Product</x:v>
      </x:c>
      <x:c r="H1" s="6" t="str">
        <x:v>Category</x:v>
      </x:c>
      <x:c r="I1" s="6" t="str">
        <x:v>Qty</x:v>
      </x:c>
      <x:c r="J1" s="6" t="str">
        <x:v>Unit_Price</x:v>
      </x:c>
      <x:c r="K1" s="6" t="str">
        <x:v>Discount</x:v>
      </x:c>
      <x:c r="L1" s="6" t="str">
        <x:v>Sales</x:v>
      </x:c>
      <x:c r="M1" s="6" t="str">
        <x:v>Unit_Cost</x:v>
      </x:c>
      <x:c r="N1" s="6" t="str">
        <x:v>Gross_Profit</x:v>
      </x:c>
      <x:c r="O1" s="6" t="str">
        <x:v>Profit_Margin</x:v>
      </x:c>
      <x:c r="P1" s="6" t="str">
        <x:v>Status</x:v>
      </x:c>
      <x:c r="Q1" s="6" t="str">
        <x:v>Salesperson</x:v>
      </x:c>
    </x:row>
    <x:row r="2">
      <x:c r="A2" s="12" t="str">
        <x:v>ORD-2026-0001</x:v>
      </x:c>
      <x:c r="B2" s="13" t="n">
        <x:v>46029</x:v>
      </x:c>
      <x:c r="C2" s="12" t="str">
        <x:v>대한국제</x:v>
      </x:c>
      <x:c r="D2" s="12" t="str">
        <x:v>경기</x:v>
      </x:c>
      <x:c r="E2" s="12" t="str">
        <x:v>온라인</x:v>
      </x:c>
      <x:c r="F2" s="12" t="str">
        <x:v>NB-002</x:v>
      </x:c>
      <x:c r="G2" s="12" t="str">
        <x:v>NovaBook Pro 16</x:v>
      </x:c>
      <x:c r="H2" s="12" t="str">
        <x:v>노트북</x:v>
      </x:c>
      <x:c r="I2" s="12" t="n">
        <x:v>5</x:v>
      </x:c>
      <x:c r="J2" s="15" t="n">
        <x:v>1680000</x:v>
      </x:c>
      <x:c r="K2" s="17" t="n">
        <x:v>0</x:v>
      </x:c>
      <x:c r="L2" s="15" t="n">
        <x:f>I2*J2*(1-K2)</x:f>
        <x:v>8400000</x:v>
      </x:c>
      <x:c r="M2" s="15" t="n">
        <x:v>1240000</x:v>
      </x:c>
      <x:c r="N2" s="15" t="n">
        <x:f>L2-(I2*M2)</x:f>
        <x:v>2200000</x:v>
      </x:c>
      <x:c r="O2" s="19" t="n">
        <x:f>IFERROR(N2/L2,0)</x:f>
        <x:v>0.2619047619047619</x:v>
      </x:c>
      <x:c r="P2" s="12" t="str">
        <x:v>취소</x:v>
      </x:c>
      <x:c r="Q2" s="12" t="str">
        <x:v>오세훈</x:v>
      </x:c>
    </x:row>
    <x:row r="3">
      <x:c r="A3" s="12" t="str">
        <x:v>ORD-2026-0002</x:v>
      </x:c>
      <x:c r="B3" s="13" t="n">
        <x:v>46045</x:v>
      </x:c>
      <x:c r="C3" s="12" t="str">
        <x:v>한빛테크</x:v>
      </x:c>
      <x:c r="D3" s="12" t="str">
        <x:v>서울</x:v>
      </x:c>
      <x:c r="E3" s="12" t="str">
        <x:v>오프라인</x:v>
      </x:c>
      <x:c r="F3" s="12" t="str">
        <x:v>SV-001</x:v>
      </x:c>
      <x:c r="G3" s="12" t="str">
        <x:v>Edge Server S1</x:v>
      </x:c>
      <x:c r="H3" s="12" t="str">
        <x:v>서버</x:v>
      </x:c>
      <x:c r="I3" s="12" t="n">
        <x:v>2</x:v>
      </x:c>
      <x:c r="J3" s="15" t="n">
        <x:v>4250000</x:v>
      </x:c>
      <x:c r="K3" s="17" t="n">
        <x:v>0</x:v>
      </x:c>
      <x:c r="L3" s="15" t="n">
        <x:f>I3*J3*(1-K3)</x:f>
        <x:v>8500000</x:v>
      </x:c>
      <x:c r="M3" s="15" t="n">
        <x:v>3380000</x:v>
      </x:c>
      <x:c r="N3" s="15" t="n">
        <x:f>L3-(I3*M3)</x:f>
        <x:v>1740000</x:v>
      </x:c>
      <x:c r="O3" s="19" t="n">
        <x:f>IFERROR(N3/L3,0)</x:f>
        <x:v>0.20470588235294118</x:v>
      </x:c>
      <x:c r="P3" s="12" t="str">
        <x:v>배송완료</x:v>
      </x:c>
      <x:c r="Q3" s="12" t="str">
        <x:v>정하늘</x:v>
      </x:c>
    </x:row>
    <x:row r="4">
      <x:c r="A4" s="12" t="str">
        <x:v>ORD-2026-0003</x:v>
      </x:c>
      <x:c r="B4" s="13" t="n">
        <x:v>46029</x:v>
      </x:c>
      <x:c r="C4" s="12" t="str">
        <x:v>스마트팩토리</x:v>
      </x:c>
      <x:c r="D4" s="12" t="str">
        <x:v>영남</x:v>
      </x:c>
      <x:c r="E4" s="12" t="str">
        <x:v>오프라인</x:v>
      </x:c>
      <x:c r="F4" s="12" t="str">
        <x:v>SV-002</x:v>
      </x:c>
      <x:c r="G4" s="12" t="str">
        <x:v>GPU Server G2</x:v>
      </x:c>
      <x:c r="H4" s="12" t="str">
        <x:v>서버</x:v>
      </x:c>
      <x:c r="I4" s="12" t="n">
        <x:v>1</x:v>
      </x:c>
      <x:c r="J4" s="15" t="n">
        <x:v>11800000</x:v>
      </x:c>
      <x:c r="K4" s="17" t="n">
        <x:v>0.15</x:v>
      </x:c>
      <x:c r="L4" s="15" t="n">
        <x:f>I4*J4*(1-K4)</x:f>
        <x:v>10030000</x:v>
      </x:c>
      <x:c r="M4" s="15" t="n">
        <x:v>9740000</x:v>
      </x:c>
      <x:c r="N4" s="15" t="n">
        <x:f>L4-(I4*M4)</x:f>
        <x:v>290000</x:v>
      </x:c>
      <x:c r="O4" s="19" t="n">
        <x:f>IFERROR(N4/L4,0)</x:f>
        <x:v>0.028913260219341975</x:v>
      </x:c>
      <x:c r="P4" s="12" t="str">
        <x:v>배송중</x:v>
      </x:c>
      <x:c r="Q4" s="12" t="str">
        <x:v>정하늘</x:v>
      </x:c>
    </x:row>
    <x:row r="5">
      <x:c r="A5" s="12" t="str">
        <x:v>ORD-2026-0004</x:v>
      </x:c>
      <x:c r="B5" s="13" t="n">
        <x:v>46024</x:v>
      </x:c>
      <x:c r="C5" s="12" t="str">
        <x:v>그린물류</x:v>
      </x:c>
      <x:c r="D5" s="12" t="str">
        <x:v>충청</x:v>
      </x:c>
      <x:c r="E5" s="12" t="str">
        <x:v>B2B</x:v>
      </x:c>
      <x:c r="F5" s="12" t="str">
        <x:v>AC-001</x:v>
      </x:c>
      <x:c r="G5" s="12" t="str">
        <x:v>Mechanical Keyboard</x:v>
      </x:c>
      <x:c r="H5" s="12" t="str">
        <x:v>주변기기</x:v>
      </x:c>
      <x:c r="I5" s="12" t="n">
        <x:v>3</x:v>
      </x:c>
      <x:c r="J5" s="15" t="n">
        <x:v>129000</x:v>
      </x:c>
      <x:c r="K5" s="17" t="n">
        <x:v>0.15</x:v>
      </x:c>
      <x:c r="L5" s="15" t="n">
        <x:f>I5*J5*(1-K5)</x:f>
        <x:v>328950</x:v>
      </x:c>
      <x:c r="M5" s="15" t="n">
        <x:v>72000</x:v>
      </x:c>
      <x:c r="N5" s="15" t="n">
        <x:f>L5-(I5*M5)</x:f>
        <x:v>112950</x:v>
      </x:c>
      <x:c r="O5" s="19" t="n">
        <x:f>IFERROR(N5/L5,0)</x:f>
        <x:v>0.3433652530779754</x:v>
      </x:c>
      <x:c r="P5" s="12" t="str">
        <x:v>배송완료</x:v>
      </x:c>
      <x:c r="Q5" s="12" t="str">
        <x:v>이서연</x:v>
      </x:c>
    </x:row>
    <x:row r="6">
      <x:c r="A6" s="12" t="str">
        <x:v>ORD-2026-0005</x:v>
      </x:c>
      <x:c r="B6" s="13" t="n">
        <x:v>46049</x:v>
      </x:c>
      <x:c r="C6" s="12" t="str">
        <x:v>미래상사</x:v>
      </x:c>
      <x:c r="D6" s="12" t="str">
        <x:v>충청</x:v>
      </x:c>
      <x:c r="E6" s="12" t="str">
        <x:v>B2B</x:v>
      </x:c>
      <x:c r="F6" s="12" t="str">
        <x:v>AC-002</x:v>
      </x:c>
      <x:c r="G6" s="12" t="str">
        <x:v>Wireless Mouse</x:v>
      </x:c>
      <x:c r="H6" s="12" t="str">
        <x:v>주변기기</x:v>
      </x:c>
      <x:c r="I6" s="12" t="n">
        <x:v>2</x:v>
      </x:c>
      <x:c r="J6" s="15" t="n">
        <x:v>69000</x:v>
      </x:c>
      <x:c r="K6" s="17" t="n">
        <x:v>0.05</x:v>
      </x:c>
      <x:c r="L6" s="15" t="n">
        <x:f>I6*J6*(1-K6)</x:f>
        <x:v>131100</x:v>
      </x:c>
      <x:c r="M6" s="15" t="n">
        <x:v>35000</x:v>
      </x:c>
      <x:c r="N6" s="15" t="n">
        <x:f>L6-(I6*M6)</x:f>
        <x:v>61100</x:v>
      </x:c>
      <x:c r="O6" s="19" t="n">
        <x:f>IFERROR(N6/L6,0)</x:f>
        <x:v>0.4660564454614798</x:v>
      </x:c>
      <x:c r="P6" s="12" t="str">
        <x:v>처리중</x:v>
      </x:c>
      <x:c r="Q6" s="12" t="str">
        <x:v>박지훈</x:v>
      </x:c>
    </x:row>
    <x:row r="7">
      <x:c r="A7" s="12" t="str">
        <x:v>ORD-2026-0006</x:v>
      </x:c>
      <x:c r="B7" s="13" t="n">
        <x:v>46209</x:v>
      </x:c>
      <x:c r="C7" s="12" t="str">
        <x:v>미래상사</x:v>
      </x:c>
      <x:c r="D7" s="12" t="str">
        <x:v>영남</x:v>
      </x:c>
      <x:c r="E7" s="12" t="str">
        <x:v>온라인</x:v>
      </x:c>
      <x:c r="F7" s="12" t="str">
        <x:v>NB-001</x:v>
      </x:c>
      <x:c r="G7" s="12" t="str">
        <x:v>NovaBook Air 14</x:v>
      </x:c>
      <x:c r="H7" s="12" t="str">
        <x:v>노트북</x:v>
      </x:c>
      <x:c r="I7" s="12" t="n">
        <x:v>8</x:v>
      </x:c>
      <x:c r="J7" s="15" t="n">
        <x:v>980000</x:v>
      </x:c>
      <x:c r="K7" s="17" t="n">
        <x:v>0.1</x:v>
      </x:c>
      <x:c r="L7" s="15" t="n">
        <x:f>I7*J7*(1-K7)</x:f>
        <x:v>7056000</x:v>
      </x:c>
      <x:c r="M7" s="15" t="n">
        <x:v>720000</x:v>
      </x:c>
      <x:c r="N7" s="15" t="n">
        <x:f>L7-(I7*M7)</x:f>
        <x:v>1296000</x:v>
      </x:c>
      <x:c r="O7" s="19" t="n">
        <x:f>IFERROR(N7/L7,0)</x:f>
        <x:v>0.1836734693877551</x:v>
      </x:c>
      <x:c r="P7" s="12" t="str">
        <x:v>처리중</x:v>
      </x:c>
      <x:c r="Q7" s="12" t="str">
        <x:v>박지훈</x:v>
      </x:c>
    </x:row>
    <x:row r="8">
      <x:c r="A8" s="12" t="str">
        <x:v>ORD-2026-0007</x:v>
      </x:c>
      <x:c r="B8" s="13" t="n">
        <x:v>46115</x:v>
      </x:c>
      <x:c r="C8" s="12" t="str">
        <x:v>미래상사</x:v>
      </x:c>
      <x:c r="D8" s="12" t="str">
        <x:v>서울</x:v>
      </x:c>
      <x:c r="E8" s="12" t="str">
        <x:v>오프라인</x:v>
      </x:c>
      <x:c r="F8" s="12" t="str">
        <x:v>SV-002</x:v>
      </x:c>
      <x:c r="G8" s="12" t="str">
        <x:v>GPU Server G2</x:v>
      </x:c>
      <x:c r="H8" s="12" t="str">
        <x:v>서버</x:v>
      </x:c>
      <x:c r="I8" s="12" t="n">
        <x:v>1</x:v>
      </x:c>
      <x:c r="J8" s="15" t="n">
        <x:v>11800000</x:v>
      </x:c>
      <x:c r="K8" s="17" t="n">
        <x:v>0.15</x:v>
      </x:c>
      <x:c r="L8" s="15" t="n">
        <x:f>I8*J8*(1-K8)</x:f>
        <x:v>10030000</x:v>
      </x:c>
      <x:c r="M8" s="15" t="n">
        <x:v>9740000</x:v>
      </x:c>
      <x:c r="N8" s="15" t="n">
        <x:f>L8-(I8*M8)</x:f>
        <x:v>290000</x:v>
      </x:c>
      <x:c r="O8" s="19" t="n">
        <x:f>IFERROR(N8/L8,0)</x:f>
        <x:v>0.028913260219341975</x:v>
      </x:c>
      <x:c r="P8" s="12" t="str">
        <x:v>배송완료</x:v>
      </x:c>
      <x:c r="Q8" s="12" t="str">
        <x:v>김민준</x:v>
      </x:c>
    </x:row>
    <x:row r="9">
      <x:c r="A9" s="12" t="str">
        <x:v>ORD-2026-0008</x:v>
      </x:c>
      <x:c r="B9" s="13" t="n">
        <x:v>46048</x:v>
      </x:c>
      <x:c r="C9" s="12" t="str">
        <x:v>오로라랩</x:v>
      </x:c>
      <x:c r="D9" s="12" t="str">
        <x:v>강원</x:v>
      </x:c>
      <x:c r="E9" s="12" t="str">
        <x:v>B2B</x:v>
      </x:c>
      <x:c r="F9" s="12" t="str">
        <x:v>MN-002</x:v>
      </x:c>
      <x:c r="G9" s="12" t="str">
        <x:v>Vision UltraWide 34</x:v>
      </x:c>
      <x:c r="H9" s="12" t="str">
        <x:v>모니터</x:v>
      </x:c>
      <x:c r="I9" s="12" t="n">
        <x:v>7</x:v>
      </x:c>
      <x:c r="J9" s="15" t="n">
        <x:v>710000</x:v>
      </x:c>
      <x:c r="K9" s="17" t="n">
        <x:v>0.03</x:v>
      </x:c>
      <x:c r="L9" s="15" t="n">
        <x:f>I9*J9*(1-K9)</x:f>
        <x:v>4820900</x:v>
      </x:c>
      <x:c r="M9" s="15" t="n">
        <x:v>505000</x:v>
      </x:c>
      <x:c r="N9" s="15" t="n">
        <x:f>L9-(I9*M9)</x:f>
        <x:v>1285900</x:v>
      </x:c>
      <x:c r="O9" s="19" t="n">
        <x:f>IFERROR(N9/L9,0)</x:f>
        <x:v>0.2667344271816466</x:v>
      </x:c>
      <x:c r="P9" s="12" t="str">
        <x:v>배송완료</x:v>
      </x:c>
      <x:c r="Q9" s="12" t="str">
        <x:v>박지훈</x:v>
      </x:c>
    </x:row>
    <x:row r="10">
      <x:c r="A10" s="12" t="str">
        <x:v>ORD-2026-0009</x:v>
      </x:c>
      <x:c r="B10" s="13" t="n">
        <x:v>46076</x:v>
      </x:c>
      <x:c r="C10" s="12" t="str">
        <x:v>미래상사</x:v>
      </x:c>
      <x:c r="D10" s="12" t="str">
        <x:v>호남</x:v>
      </x:c>
      <x:c r="E10" s="12" t="str">
        <x:v>오프라인</x:v>
      </x:c>
      <x:c r="F10" s="12" t="str">
        <x:v>AC-002</x:v>
      </x:c>
      <x:c r="G10" s="12" t="str">
        <x:v>Wireless Mouse</x:v>
      </x:c>
      <x:c r="H10" s="12" t="str">
        <x:v>주변기기</x:v>
      </x:c>
      <x:c r="I10" s="12" t="n">
        <x:v>5</x:v>
      </x:c>
      <x:c r="J10" s="15" t="n">
        <x:v>69000</x:v>
      </x:c>
      <x:c r="K10" s="17" t="n">
        <x:v>0.15</x:v>
      </x:c>
      <x:c r="L10" s="15" t="n">
        <x:f>I10*J10*(1-K10)</x:f>
        <x:v>293250</x:v>
      </x:c>
      <x:c r="M10" s="15" t="n">
        <x:v>35000</x:v>
      </x:c>
      <x:c r="N10" s="15" t="n">
        <x:f>L10-(I10*M10)</x:f>
        <x:v>118250</x:v>
      </x:c>
      <x:c r="O10" s="19" t="n">
        <x:f>IFERROR(N10/L10,0)</x:f>
        <x:v>0.4032395566922421</x:v>
      </x:c>
      <x:c r="P10" s="12" t="str">
        <x:v>처리중</x:v>
      </x:c>
      <x:c r="Q10" s="12" t="str">
        <x:v>오세훈</x:v>
      </x:c>
    </x:row>
    <x:row r="11">
      <x:c r="A11" s="12" t="str">
        <x:v>ORD-2026-0010</x:v>
      </x:c>
      <x:c r="B11" s="13" t="n">
        <x:v>46064</x:v>
      </x:c>
      <x:c r="C11" s="12" t="str">
        <x:v>알파솔루션</x:v>
      </x:c>
      <x:c r="D11" s="12" t="str">
        <x:v>강원</x:v>
      </x:c>
      <x:c r="E11" s="12" t="str">
        <x:v>오프라인</x:v>
      </x:c>
      <x:c r="F11" s="12" t="str">
        <x:v>MN-002</x:v>
      </x:c>
      <x:c r="G11" s="12" t="str">
        <x:v>Vision UltraWide 34</x:v>
      </x:c>
      <x:c r="H11" s="12" t="str">
        <x:v>모니터</x:v>
      </x:c>
      <x:c r="I11" s="12" t="n">
        <x:v>8</x:v>
      </x:c>
      <x:c r="J11" s="15" t="n">
        <x:v>710000</x:v>
      </x:c>
      <x:c r="K11" s="17" t="n">
        <x:v>0.05</x:v>
      </x:c>
      <x:c r="L11" s="15" t="n">
        <x:f>I11*J11*(1-K11)</x:f>
        <x:v>5396000</x:v>
      </x:c>
      <x:c r="M11" s="15" t="n">
        <x:v>505000</x:v>
      </x:c>
      <x:c r="N11" s="15" t="n">
        <x:f>L11-(I11*M11)</x:f>
        <x:v>1356000</x:v>
      </x:c>
      <x:c r="O11" s="19" t="n">
        <x:f>IFERROR(N11/L11,0)</x:f>
        <x:v>0.251297257227576</x:v>
      </x:c>
      <x:c r="P11" s="12" t="str">
        <x:v>취소</x:v>
      </x:c>
      <x:c r="Q11" s="12" t="str">
        <x:v>박지훈</x:v>
      </x:c>
    </x:row>
    <x:row r="12">
      <x:c r="A12" s="12" t="str">
        <x:v>ORD-2026-0011</x:v>
      </x:c>
      <x:c r="B12" s="13" t="n">
        <x:v>46081</x:v>
      </x:c>
      <x:c r="C12" s="12" t="str">
        <x:v>서울디자인</x:v>
      </x:c>
      <x:c r="D12" s="12" t="str">
        <x:v>영남</x:v>
      </x:c>
      <x:c r="E12" s="12" t="str">
        <x:v>B2B</x:v>
      </x:c>
      <x:c r="F12" s="12" t="str">
        <x:v>NB-001</x:v>
      </x:c>
      <x:c r="G12" s="12" t="str">
        <x:v>NovaBook Air 14</x:v>
      </x:c>
      <x:c r="H12" s="12" t="str">
        <x:v>노트북</x:v>
      </x:c>
      <x:c r="I12" s="12" t="n">
        <x:v>1</x:v>
      </x:c>
      <x:c r="J12" s="15" t="n">
        <x:v>980000</x:v>
      </x:c>
      <x:c r="K12" s="17" t="n">
        <x:v>0.2</x:v>
      </x:c>
      <x:c r="L12" s="15" t="n">
        <x:f>I12*J12*(1-K12)</x:f>
        <x:v>784000</x:v>
      </x:c>
      <x:c r="M12" s="15" t="n">
        <x:v>720000</x:v>
      </x:c>
      <x:c r="N12" s="15" t="n">
        <x:f>L12-(I12*M12)</x:f>
        <x:v>64000</x:v>
      </x:c>
      <x:c r="O12" s="19" t="n">
        <x:f>IFERROR(N12/L12,0)</x:f>
        <x:v>0.08163265306122448</x:v>
      </x:c>
      <x:c r="P12" s="12" t="str">
        <x:v>배송완료</x:v>
      </x:c>
      <x:c r="Q12" s="12" t="str">
        <x:v>이서연</x:v>
      </x:c>
    </x:row>
    <x:row r="13">
      <x:c r="A13" s="12" t="str">
        <x:v>ORD-2026-0012</x:v>
      </x:c>
      <x:c r="B13" s="13" t="n">
        <x:v>46206</x:v>
      </x:c>
      <x:c r="C13" s="12" t="str">
        <x:v>오로라랩</x:v>
      </x:c>
      <x:c r="D13" s="12" t="str">
        <x:v>영남</x:v>
      </x:c>
      <x:c r="E13" s="12" t="str">
        <x:v>마켓플레이스</x:v>
      </x:c>
      <x:c r="F13" s="12" t="str">
        <x:v>SV-002</x:v>
      </x:c>
      <x:c r="G13" s="12" t="str">
        <x:v>GPU Server G2</x:v>
      </x:c>
      <x:c r="H13" s="12" t="str">
        <x:v>서버</x:v>
      </x:c>
      <x:c r="I13" s="12" t="n">
        <x:v>2</x:v>
      </x:c>
      <x:c r="J13" s="15" t="n">
        <x:v>11800000</x:v>
      </x:c>
      <x:c r="K13" s="17" t="n">
        <x:v>0</x:v>
      </x:c>
      <x:c r="L13" s="15" t="n">
        <x:f>I13*J13*(1-K13)</x:f>
        <x:v>23600000</x:v>
      </x:c>
      <x:c r="M13" s="15" t="n">
        <x:v>9740000</x:v>
      </x:c>
      <x:c r="N13" s="15" t="n">
        <x:f>L13-(I13*M13)</x:f>
        <x:v>4120000</x:v>
      </x:c>
      <x:c r="O13" s="19" t="n">
        <x:f>IFERROR(N13/L13,0)</x:f>
        <x:v>0.17457627118644067</x:v>
      </x:c>
      <x:c r="P13" s="12" t="str">
        <x:v>배송완료</x:v>
      </x:c>
      <x:c r="Q13" s="12" t="str">
        <x:v>박지훈</x:v>
      </x:c>
    </x:row>
    <x:row r="14">
      <x:c r="A14" s="12" t="str">
        <x:v>ORD-2026-0013</x:v>
      </x:c>
      <x:c r="B14" s="13" t="n">
        <x:v>46086</x:v>
      </x:c>
      <x:c r="C14" s="12" t="str">
        <x:v>비전교육</x:v>
      </x:c>
      <x:c r="D14" s="12" t="str">
        <x:v>영남</x:v>
      </x:c>
      <x:c r="E14" s="12" t="str">
        <x:v>마켓플레이스</x:v>
      </x:c>
      <x:c r="F14" s="12" t="str">
        <x:v>MN-001</x:v>
      </x:c>
      <x:c r="G14" s="12" t="str">
        <x:v>Vision 27Q</x:v>
      </x:c>
      <x:c r="H14" s="12" t="str">
        <x:v>모니터</x:v>
      </x:c>
      <x:c r="I14" s="12" t="n">
        <x:v>5</x:v>
      </x:c>
      <x:c r="J14" s="15" t="n">
        <x:v>420000</x:v>
      </x:c>
      <x:c r="K14" s="17" t="n">
        <x:v>0.15</x:v>
      </x:c>
      <x:c r="L14" s="15" t="n">
        <x:f>I14*J14*(1-K14)</x:f>
        <x:v>1785000</x:v>
      </x:c>
      <x:c r="M14" s="15" t="n">
        <x:v>285000</x:v>
      </x:c>
      <x:c r="N14" s="15" t="n">
        <x:f>L14-(I14*M14)</x:f>
        <x:v>360000</x:v>
      </x:c>
      <x:c r="O14" s="19" t="n">
        <x:f>IFERROR(N14/L14,0)</x:f>
        <x:v>0.20168067226890757</x:v>
      </x:c>
      <x:c r="P14" s="12" t="str">
        <x:v>배송완료</x:v>
      </x:c>
      <x:c r="Q14" s="12" t="str">
        <x:v>이서연</x:v>
      </x:c>
    </x:row>
    <x:row r="15">
      <x:c r="A15" s="12" t="str">
        <x:v>ORD-2026-0014</x:v>
      </x:c>
      <x:c r="B15" s="13" t="n">
        <x:v>46153</x:v>
      </x:c>
      <x:c r="C15" s="12" t="str">
        <x:v>한빛테크</x:v>
      </x:c>
      <x:c r="D15" s="12" t="str">
        <x:v>서울</x:v>
      </x:c>
      <x:c r="E15" s="12" t="str">
        <x:v>오프라인</x:v>
      </x:c>
      <x:c r="F15" s="12" t="str">
        <x:v>MN-001</x:v>
      </x:c>
      <x:c r="G15" s="12" t="str">
        <x:v>Vision 27Q</x:v>
      </x:c>
      <x:c r="H15" s="12" t="str">
        <x:v>모니터</x:v>
      </x:c>
      <x:c r="I15" s="12" t="n">
        <x:v>8</x:v>
      </x:c>
      <x:c r="J15" s="15" t="n">
        <x:v>420000</x:v>
      </x:c>
      <x:c r="K15" s="17" t="n">
        <x:v>0</x:v>
      </x:c>
      <x:c r="L15" s="15" t="n">
        <x:f>I15*J15*(1-K15)</x:f>
        <x:v>3360000</x:v>
      </x:c>
      <x:c r="M15" s="15" t="n">
        <x:v>285000</x:v>
      </x:c>
      <x:c r="N15" s="15" t="n">
        <x:f>L15-(I15*M15)</x:f>
        <x:v>1080000</x:v>
      </x:c>
      <x:c r="O15" s="19" t="n">
        <x:f>IFERROR(N15/L15,0)</x:f>
        <x:v>0.32142857142857145</x:v>
      </x:c>
      <x:c r="P15" s="12" t="str">
        <x:v>취소</x:v>
      </x:c>
      <x:c r="Q15" s="12" t="str">
        <x:v>이서연</x:v>
      </x:c>
    </x:row>
    <x:row r="16">
      <x:c r="A16" s="12" t="str">
        <x:v>ORD-2026-0015</x:v>
      </x:c>
      <x:c r="B16" s="13" t="n">
        <x:v>46175</x:v>
      </x:c>
      <x:c r="C16" s="12" t="str">
        <x:v>그린물류</x:v>
      </x:c>
      <x:c r="D16" s="12" t="str">
        <x:v>호남</x:v>
      </x:c>
      <x:c r="E16" s="12" t="str">
        <x:v>마켓플레이스</x:v>
      </x:c>
      <x:c r="F16" s="12" t="str">
        <x:v>AC-003</x:v>
      </x:c>
      <x:c r="G16" s="12" t="str">
        <x:v>USB-C Dock</x:v>
      </x:c>
      <x:c r="H16" s="12" t="str">
        <x:v>주변기기</x:v>
      </x:c>
      <x:c r="I16" s="12" t="n">
        <x:v>2</x:v>
      </x:c>
      <x:c r="J16" s="15" t="n">
        <x:v>189000</x:v>
      </x:c>
      <x:c r="K16" s="17" t="n">
        <x:v>0.05</x:v>
      </x:c>
      <x:c r="L16" s="15" t="n">
        <x:f>I16*J16*(1-K16)</x:f>
        <x:v>359100</x:v>
      </x:c>
      <x:c r="M16" s="15" t="n">
        <x:v>116000</x:v>
      </x:c>
      <x:c r="N16" s="15" t="n">
        <x:f>L16-(I16*M16)</x:f>
        <x:v>127100</x:v>
      </x:c>
      <x:c r="O16" s="19" t="n">
        <x:f>IFERROR(N16/L16,0)</x:f>
        <x:v>0.3539404065719855</x:v>
      </x:c>
      <x:c r="P16" s="12" t="str">
        <x:v>처리중</x:v>
      </x:c>
      <x:c r="Q16" s="12" t="str">
        <x:v>박지훈</x:v>
      </x:c>
    </x:row>
    <x:row r="17">
      <x:c r="A17" s="12" t="str">
        <x:v>ORD-2026-0016</x:v>
      </x:c>
      <x:c r="B17" s="13" t="n">
        <x:v>46025</x:v>
      </x:c>
      <x:c r="C17" s="12" t="str">
        <x:v>스마트팩토리</x:v>
      </x:c>
      <x:c r="D17" s="12" t="str">
        <x:v>충청</x:v>
      </x:c>
      <x:c r="E17" s="12" t="str">
        <x:v>B2B</x:v>
      </x:c>
      <x:c r="F17" s="12" t="str">
        <x:v>SV-001</x:v>
      </x:c>
      <x:c r="G17" s="12" t="str">
        <x:v>Edge Server S1</x:v>
      </x:c>
      <x:c r="H17" s="12" t="str">
        <x:v>서버</x:v>
      </x:c>
      <x:c r="I17" s="12" t="n">
        <x:v>1</x:v>
      </x:c>
      <x:c r="J17" s="15" t="n">
        <x:v>4250000</x:v>
      </x:c>
      <x:c r="K17" s="17" t="n">
        <x:v>0.15</x:v>
      </x:c>
      <x:c r="L17" s="15" t="n">
        <x:f>I17*J17*(1-K17)</x:f>
        <x:v>3612500</x:v>
      </x:c>
      <x:c r="M17" s="15" t="n">
        <x:v>3380000</x:v>
      </x:c>
      <x:c r="N17" s="15" t="n">
        <x:f>L17-(I17*M17)</x:f>
        <x:v>232500</x:v>
      </x:c>
      <x:c r="O17" s="19" t="n">
        <x:f>IFERROR(N17/L17,0)</x:f>
        <x:v>0.0643598615916955</x:v>
      </x:c>
      <x:c r="P17" s="12" t="str">
        <x:v>배송완료</x:v>
      </x:c>
      <x:c r="Q17" s="12" t="str">
        <x:v>박지훈</x:v>
      </x:c>
    </x:row>
    <x:row r="18">
      <x:c r="A18" s="12" t="str">
        <x:v>ORD-2026-0017</x:v>
      </x:c>
      <x:c r="B18" s="13" t="n">
        <x:v>46063</x:v>
      </x:c>
      <x:c r="C18" s="12" t="str">
        <x:v>알파솔루션</x:v>
      </x:c>
      <x:c r="D18" s="12" t="str">
        <x:v>호남</x:v>
      </x:c>
      <x:c r="E18" s="12" t="str">
        <x:v>오프라인</x:v>
      </x:c>
      <x:c r="F18" s="12" t="str">
        <x:v>AC-003</x:v>
      </x:c>
      <x:c r="G18" s="12" t="str">
        <x:v>USB-C Dock</x:v>
      </x:c>
      <x:c r="H18" s="12" t="str">
        <x:v>주변기기</x:v>
      </x:c>
      <x:c r="I18" s="12" t="n">
        <x:v>8</x:v>
      </x:c>
      <x:c r="J18" s="15" t="n">
        <x:v>189000</x:v>
      </x:c>
      <x:c r="K18" s="17" t="n">
        <x:v>0</x:v>
      </x:c>
      <x:c r="L18" s="15" t="n">
        <x:f>I18*J18*(1-K18)</x:f>
        <x:v>1512000</x:v>
      </x:c>
      <x:c r="M18" s="15" t="n">
        <x:v>116000</x:v>
      </x:c>
      <x:c r="N18" s="15" t="n">
        <x:f>L18-(I18*M18)</x:f>
        <x:v>584000</x:v>
      </x:c>
      <x:c r="O18" s="19" t="n">
        <x:f>IFERROR(N18/L18,0)</x:f>
        <x:v>0.3862433862433862</x:v>
      </x:c>
      <x:c r="P18" s="12" t="str">
        <x:v>처리중</x:v>
      </x:c>
      <x:c r="Q18" s="12" t="str">
        <x:v>김민준</x:v>
      </x:c>
    </x:row>
    <x:row r="19">
      <x:c r="A19" s="12" t="str">
        <x:v>ORD-2026-0018</x:v>
      </x:c>
      <x:c r="B19" s="13" t="n">
        <x:v>46186</x:v>
      </x:c>
      <x:c r="C19" s="12" t="str">
        <x:v>서울디자인</x:v>
      </x:c>
      <x:c r="D19" s="12" t="str">
        <x:v>경기</x:v>
      </x:c>
      <x:c r="E19" s="12" t="str">
        <x:v>온라인</x:v>
      </x:c>
      <x:c r="F19" s="12" t="str">
        <x:v>AC-001</x:v>
      </x:c>
      <x:c r="G19" s="12" t="str">
        <x:v>Mechanical Keyboard</x:v>
      </x:c>
      <x:c r="H19" s="12" t="str">
        <x:v>주변기기</x:v>
      </x:c>
      <x:c r="I19" s="12" t="n">
        <x:v>4</x:v>
      </x:c>
      <x:c r="J19" s="15" t="n">
        <x:v>129000</x:v>
      </x:c>
      <x:c r="K19" s="17" t="n">
        <x:v>0</x:v>
      </x:c>
      <x:c r="L19" s="15" t="n">
        <x:f>I19*J19*(1-K19)</x:f>
        <x:v>516000</x:v>
      </x:c>
      <x:c r="M19" s="15" t="n">
        <x:v>72000</x:v>
      </x:c>
      <x:c r="N19" s="15" t="n">
        <x:f>L19-(I19*M19)</x:f>
        <x:v>228000</x:v>
      </x:c>
      <x:c r="O19" s="19" t="n">
        <x:f>IFERROR(N19/L19,0)</x:f>
        <x:v>0.4418604651162791</x:v>
      </x:c>
      <x:c r="P19" s="12" t="str">
        <x:v>처리중</x:v>
      </x:c>
      <x:c r="Q19" s="12" t="str">
        <x:v>박지훈</x:v>
      </x:c>
    </x:row>
    <x:row r="20">
      <x:c r="A20" s="12" t="str">
        <x:v>ORD-2026-0019</x:v>
      </x:c>
      <x:c r="B20" s="13" t="n">
        <x:v>46027</x:v>
      </x:c>
      <x:c r="C20" s="12" t="str">
        <x:v>알파솔루션</x:v>
      </x:c>
      <x:c r="D20" s="12" t="str">
        <x:v>경기</x:v>
      </x:c>
      <x:c r="E20" s="12" t="str">
        <x:v>온라인</x:v>
      </x:c>
      <x:c r="F20" s="12" t="str">
        <x:v>SW-001</x:v>
      </x:c>
      <x:c r="G20" s="12" t="str">
        <x:v>Office Suite Annual</x:v>
      </x:c>
      <x:c r="H20" s="12" t="str">
        <x:v>소프트웨어</x:v>
      </x:c>
      <x:c r="I20" s="12" t="n">
        <x:v>2</x:v>
      </x:c>
      <x:c r="J20" s="15" t="n">
        <x:v>148000</x:v>
      </x:c>
      <x:c r="K20" s="17" t="n">
        <x:v>0.03</x:v>
      </x:c>
      <x:c r="L20" s="15" t="n">
        <x:f>I20*J20*(1-K20)</x:f>
        <x:v>287120</x:v>
      </x:c>
      <x:c r="M20" s="15" t="n">
        <x:v>42000</x:v>
      </x:c>
      <x:c r="N20" s="15" t="n">
        <x:f>L20-(I20*M20)</x:f>
        <x:v>203120</x:v>
      </x:c>
      <x:c r="O20" s="19" t="n">
        <x:f>IFERROR(N20/L20,0)</x:f>
        <x:v>0.7074393981610476</x:v>
      </x:c>
      <x:c r="P20" s="12" t="str">
        <x:v>배송완료</x:v>
      </x:c>
      <x:c r="Q20" s="12" t="str">
        <x:v>정하늘</x:v>
      </x:c>
    </x:row>
    <x:row r="21">
      <x:c r="A21" s="12" t="str">
        <x:v>ORD-2026-0020</x:v>
      </x:c>
      <x:c r="B21" s="13" t="n">
        <x:v>46044</x:v>
      </x:c>
      <x:c r="C21" s="12" t="str">
        <x:v>미래상사</x:v>
      </x:c>
      <x:c r="D21" s="12" t="str">
        <x:v>호남</x:v>
      </x:c>
      <x:c r="E21" s="12" t="str">
        <x:v>오프라인</x:v>
      </x:c>
      <x:c r="F21" s="12" t="str">
        <x:v>NB-002</x:v>
      </x:c>
      <x:c r="G21" s="12" t="str">
        <x:v>NovaBook Pro 16</x:v>
      </x:c>
      <x:c r="H21" s="12" t="str">
        <x:v>노트북</x:v>
      </x:c>
      <x:c r="I21" s="12" t="n">
        <x:v>8</x:v>
      </x:c>
      <x:c r="J21" s="15" t="n">
        <x:v>1680000</x:v>
      </x:c>
      <x:c r="K21" s="17" t="n">
        <x:v>0.2</x:v>
      </x:c>
      <x:c r="L21" s="15" t="n">
        <x:f>I21*J21*(1-K21)</x:f>
        <x:v>10752000</x:v>
      </x:c>
      <x:c r="M21" s="15" t="n">
        <x:v>1240000</x:v>
      </x:c>
      <x:c r="N21" s="15" t="n">
        <x:f>L21-(I21*M21)</x:f>
        <x:v>832000</x:v>
      </x:c>
      <x:c r="O21" s="19" t="n">
        <x:f>IFERROR(N21/L21,0)</x:f>
        <x:v>0.07738095238095238</x:v>
      </x:c>
      <x:c r="P21" s="12" t="str">
        <x:v>배송완료</x:v>
      </x:c>
      <x:c r="Q21" s="12" t="str">
        <x:v>오세훈</x:v>
      </x:c>
    </x:row>
    <x:row r="22">
      <x:c r="A22" s="12" t="str">
        <x:v>ORD-2026-0021</x:v>
      </x:c>
      <x:c r="B22" s="13" t="n">
        <x:v>46163</x:v>
      </x:c>
      <x:c r="C22" s="12" t="str">
        <x:v>스마트팩토리</x:v>
      </x:c>
      <x:c r="D22" s="12" t="str">
        <x:v>호남</x:v>
      </x:c>
      <x:c r="E22" s="12" t="str">
        <x:v>마켓플레이스</x:v>
      </x:c>
      <x:c r="F22" s="12" t="str">
        <x:v>SW-001</x:v>
      </x:c>
      <x:c r="G22" s="12" t="str">
        <x:v>Office Suite Annual</x:v>
      </x:c>
      <x:c r="H22" s="12" t="str">
        <x:v>소프트웨어</x:v>
      </x:c>
      <x:c r="I22" s="12" t="n">
        <x:v>3</x:v>
      </x:c>
      <x:c r="J22" s="15" t="n">
        <x:v>148000</x:v>
      </x:c>
      <x:c r="K22" s="17" t="n">
        <x:v>0.03</x:v>
      </x:c>
      <x:c r="L22" s="15" t="n">
        <x:f>I22*J22*(1-K22)</x:f>
        <x:v>430680</x:v>
      </x:c>
      <x:c r="M22" s="15" t="n">
        <x:v>42000</x:v>
      </x:c>
      <x:c r="N22" s="15" t="n">
        <x:f>L22-(I22*M22)</x:f>
        <x:v>304680</x:v>
      </x:c>
      <x:c r="O22" s="19" t="n">
        <x:f>IFERROR(N22/L22,0)</x:f>
        <x:v>0.7074393981610476</x:v>
      </x:c>
      <x:c r="P22" s="12" t="str">
        <x:v>배송완료</x:v>
      </x:c>
      <x:c r="Q22" s="12" t="str">
        <x:v>정하늘</x:v>
      </x:c>
    </x:row>
    <x:row r="23">
      <x:c r="A23" s="12" t="str">
        <x:v>ORD-2026-0022</x:v>
      </x:c>
      <x:c r="B23" s="13" t="n">
        <x:v>46205</x:v>
      </x:c>
      <x:c r="C23" s="12" t="str">
        <x:v>서울디자인</x:v>
      </x:c>
      <x:c r="D23" s="12" t="str">
        <x:v>영남</x:v>
      </x:c>
      <x:c r="E23" s="12" t="str">
        <x:v>마켓플레이스</x:v>
      </x:c>
      <x:c r="F23" s="12" t="str">
        <x:v>MN-002</x:v>
      </x:c>
      <x:c r="G23" s="12" t="str">
        <x:v>Vision UltraWide 34</x:v>
      </x:c>
      <x:c r="H23" s="12" t="str">
        <x:v>모니터</x:v>
      </x:c>
      <x:c r="I23" s="12" t="n">
        <x:v>5</x:v>
      </x:c>
      <x:c r="J23" s="15" t="n">
        <x:v>710000</x:v>
      </x:c>
      <x:c r="K23" s="17" t="n">
        <x:v>0.05</x:v>
      </x:c>
      <x:c r="L23" s="15" t="n">
        <x:f>I23*J23*(1-K23)</x:f>
        <x:v>3372500</x:v>
      </x:c>
      <x:c r="M23" s="15" t="n">
        <x:v>505000</x:v>
      </x:c>
      <x:c r="N23" s="15" t="n">
        <x:f>L23-(I23*M23)</x:f>
        <x:v>847500</x:v>
      </x:c>
      <x:c r="O23" s="19" t="n">
        <x:f>IFERROR(N23/L23,0)</x:f>
        <x:v>0.251297257227576</x:v>
      </x:c>
      <x:c r="P23" s="12" t="str">
        <x:v>배송완료</x:v>
      </x:c>
      <x:c r="Q23" s="12" t="str">
        <x:v>이서연</x:v>
      </x:c>
    </x:row>
    <x:row r="24">
      <x:c r="A24" s="12" t="str">
        <x:v>ORD-2026-0023</x:v>
      </x:c>
      <x:c r="B24" s="13" t="n">
        <x:v>46039</x:v>
      </x:c>
      <x:c r="C24" s="12" t="str">
        <x:v>비전교육</x:v>
      </x:c>
      <x:c r="D24" s="12" t="str">
        <x:v>호남</x:v>
      </x:c>
      <x:c r="E24" s="12" t="str">
        <x:v>오프라인</x:v>
      </x:c>
      <x:c r="F24" s="12" t="str">
        <x:v>MN-002</x:v>
      </x:c>
      <x:c r="G24" s="12" t="str">
        <x:v>Vision UltraWide 34</x:v>
      </x:c>
      <x:c r="H24" s="12" t="str">
        <x:v>모니터</x:v>
      </x:c>
      <x:c r="I24" s="12" t="n">
        <x:v>6</x:v>
      </x:c>
      <x:c r="J24" s="15" t="n">
        <x:v>710000</x:v>
      </x:c>
      <x:c r="K24" s="17" t="n">
        <x:v>0</x:v>
      </x:c>
      <x:c r="L24" s="15" t="n">
        <x:f>I24*J24*(1-K24)</x:f>
        <x:v>4260000</x:v>
      </x:c>
      <x:c r="M24" s="15" t="n">
        <x:v>505000</x:v>
      </x:c>
      <x:c r="N24" s="15" t="n">
        <x:f>L24-(I24*M24)</x:f>
        <x:v>1230000</x:v>
      </x:c>
      <x:c r="O24" s="19" t="n">
        <x:f>IFERROR(N24/L24,0)</x:f>
        <x:v>0.2887323943661972</x:v>
      </x:c>
      <x:c r="P24" s="12" t="str">
        <x:v>처리중</x:v>
      </x:c>
      <x:c r="Q24" s="12" t="str">
        <x:v>이서연</x:v>
      </x:c>
    </x:row>
    <x:row r="25">
      <x:c r="A25" s="12" t="str">
        <x:v>ORD-2026-0024</x:v>
      </x:c>
      <x:c r="B25" s="13" t="n">
        <x:v>46041</x:v>
      </x:c>
      <x:c r="C25" s="12" t="str">
        <x:v>미래상사</x:v>
      </x:c>
      <x:c r="D25" s="12" t="str">
        <x:v>서울</x:v>
      </x:c>
      <x:c r="E25" s="12" t="str">
        <x:v>B2B</x:v>
      </x:c>
      <x:c r="F25" s="12" t="str">
        <x:v>NB-001</x:v>
      </x:c>
      <x:c r="G25" s="12" t="str">
        <x:v>NovaBook Air 14</x:v>
      </x:c>
      <x:c r="H25" s="12" t="str">
        <x:v>노트북</x:v>
      </x:c>
      <x:c r="I25" s="12" t="n">
        <x:v>1</x:v>
      </x:c>
      <x:c r="J25" s="15" t="n">
        <x:v>980000</x:v>
      </x:c>
      <x:c r="K25" s="17" t="n">
        <x:v>0</x:v>
      </x:c>
      <x:c r="L25" s="15" t="n">
        <x:f>I25*J25*(1-K25)</x:f>
        <x:v>980000</x:v>
      </x:c>
      <x:c r="M25" s="15" t="n">
        <x:v>720000</x:v>
      </x:c>
      <x:c r="N25" s="15" t="n">
        <x:f>L25-(I25*M25)</x:f>
        <x:v>260000</x:v>
      </x:c>
      <x:c r="O25" s="19" t="n">
        <x:f>IFERROR(N25/L25,0)</x:f>
        <x:v>0.2653061224489796</x:v>
      </x:c>
      <x:c r="P25" s="12" t="str">
        <x:v>배송완료</x:v>
      </x:c>
      <x:c r="Q25" s="12" t="str">
        <x:v>정하늘</x:v>
      </x:c>
    </x:row>
    <x:row r="26">
      <x:c r="A26" s="12" t="str">
        <x:v>ORD-2026-0025</x:v>
      </x:c>
      <x:c r="B26" s="13" t="n">
        <x:v>46094</x:v>
      </x:c>
      <x:c r="C26" s="12" t="str">
        <x:v>스마트팩토리</x:v>
      </x:c>
      <x:c r="D26" s="12" t="str">
        <x:v>경기</x:v>
      </x:c>
      <x:c r="E26" s="12" t="str">
        <x:v>마켓플레이스</x:v>
      </x:c>
      <x:c r="F26" s="12" t="str">
        <x:v>MN-002</x:v>
      </x:c>
      <x:c r="G26" s="12" t="str">
        <x:v>Vision UltraWide 34</x:v>
      </x:c>
      <x:c r="H26" s="12" t="str">
        <x:v>모니터</x:v>
      </x:c>
      <x:c r="I26" s="12" t="n">
        <x:v>8</x:v>
      </x:c>
      <x:c r="J26" s="15" t="n">
        <x:v>710000</x:v>
      </x:c>
      <x:c r="K26" s="17" t="n">
        <x:v>0</x:v>
      </x:c>
      <x:c r="L26" s="15" t="n">
        <x:f>I26*J26*(1-K26)</x:f>
        <x:v>5680000</x:v>
      </x:c>
      <x:c r="M26" s="15" t="n">
        <x:v>505000</x:v>
      </x:c>
      <x:c r="N26" s="15" t="n">
        <x:f>L26-(I26*M26)</x:f>
        <x:v>1640000</x:v>
      </x:c>
      <x:c r="O26" s="19" t="n">
        <x:f>IFERROR(N26/L26,0)</x:f>
        <x:v>0.2887323943661972</x:v>
      </x:c>
      <x:c r="P26" s="12" t="str">
        <x:v>배송완료</x:v>
      </x:c>
      <x:c r="Q26" s="12" t="str">
        <x:v>최유진</x:v>
      </x:c>
    </x:row>
    <x:row r="27">
      <x:c r="A27" s="12" t="str">
        <x:v>ORD-2026-0026</x:v>
      </x:c>
      <x:c r="B27" s="13" t="n">
        <x:v>46071</x:v>
      </x:c>
      <x:c r="C27" s="12" t="str">
        <x:v>그린물류</x:v>
      </x:c>
      <x:c r="D27" s="12" t="str">
        <x:v>충청</x:v>
      </x:c>
      <x:c r="E27" s="12" t="str">
        <x:v>마켓플레이스</x:v>
      </x:c>
      <x:c r="F27" s="12" t="str">
        <x:v>AC-003</x:v>
      </x:c>
      <x:c r="G27" s="12" t="str">
        <x:v>USB-C Dock</x:v>
      </x:c>
      <x:c r="H27" s="12" t="str">
        <x:v>주변기기</x:v>
      </x:c>
      <x:c r="I27" s="12" t="n">
        <x:v>2</x:v>
      </x:c>
      <x:c r="J27" s="15" t="n">
        <x:v>189000</x:v>
      </x:c>
      <x:c r="K27" s="17" t="n">
        <x:v>0</x:v>
      </x:c>
      <x:c r="L27" s="15" t="n">
        <x:f>I27*J27*(1-K27)</x:f>
        <x:v>378000</x:v>
      </x:c>
      <x:c r="M27" s="15" t="n">
        <x:v>116000</x:v>
      </x:c>
      <x:c r="N27" s="15" t="n">
        <x:f>L27-(I27*M27)</x:f>
        <x:v>146000</x:v>
      </x:c>
      <x:c r="O27" s="19" t="n">
        <x:f>IFERROR(N27/L27,0)</x:f>
        <x:v>0.3862433862433862</x:v>
      </x:c>
      <x:c r="P27" s="12" t="str">
        <x:v>배송중</x:v>
      </x:c>
      <x:c r="Q27" s="12" t="str">
        <x:v>최유진</x:v>
      </x:c>
    </x:row>
    <x:row r="28">
      <x:c r="A28" s="12" t="str">
        <x:v>ORD-2026-0027</x:v>
      </x:c>
      <x:c r="B28" s="13" t="n">
        <x:v>46195</x:v>
      </x:c>
      <x:c r="C28" s="12" t="str">
        <x:v>그린물류</x:v>
      </x:c>
      <x:c r="D28" s="12" t="str">
        <x:v>강원</x:v>
      </x:c>
      <x:c r="E28" s="12" t="str">
        <x:v>B2B</x:v>
      </x:c>
      <x:c r="F28" s="12" t="str">
        <x:v>NB-001</x:v>
      </x:c>
      <x:c r="G28" s="12" t="str">
        <x:v>NovaBook Air 14</x:v>
      </x:c>
      <x:c r="H28" s="12" t="str">
        <x:v>노트북</x:v>
      </x:c>
      <x:c r="I28" s="12" t="n">
        <x:v>2</x:v>
      </x:c>
      <x:c r="J28" s="15" t="n">
        <x:v>980000</x:v>
      </x:c>
      <x:c r="K28" s="17" t="n">
        <x:v>0</x:v>
      </x:c>
      <x:c r="L28" s="15" t="n">
        <x:f>I28*J28*(1-K28)</x:f>
        <x:v>1960000</x:v>
      </x:c>
      <x:c r="M28" s="15" t="n">
        <x:v>720000</x:v>
      </x:c>
      <x:c r="N28" s="15" t="n">
        <x:f>L28-(I28*M28)</x:f>
        <x:v>520000</x:v>
      </x:c>
      <x:c r="O28" s="19" t="n">
        <x:f>IFERROR(N28/L28,0)</x:f>
        <x:v>0.2653061224489796</x:v>
      </x:c>
      <x:c r="P28" s="12" t="str">
        <x:v>배송완료</x:v>
      </x:c>
      <x:c r="Q28" s="12" t="str">
        <x:v>이서연</x:v>
      </x:c>
    </x:row>
    <x:row r="29">
      <x:c r="A29" s="12" t="str">
        <x:v>ORD-2026-0028</x:v>
      </x:c>
      <x:c r="B29" s="13" t="n">
        <x:v>46071</x:v>
      </x:c>
      <x:c r="C29" s="12" t="str">
        <x:v>그린물류</x:v>
      </x:c>
      <x:c r="D29" s="12" t="str">
        <x:v>경기</x:v>
      </x:c>
      <x:c r="E29" s="12" t="str">
        <x:v>B2B</x:v>
      </x:c>
      <x:c r="F29" s="12" t="str">
        <x:v>MN-002</x:v>
      </x:c>
      <x:c r="G29" s="12" t="str">
        <x:v>Vision UltraWide 34</x:v>
      </x:c>
      <x:c r="H29" s="12" t="str">
        <x:v>모니터</x:v>
      </x:c>
      <x:c r="I29" s="12" t="n">
        <x:v>8</x:v>
      </x:c>
      <x:c r="J29" s="15" t="n">
        <x:v>710000</x:v>
      </x:c>
      <x:c r="K29" s="17" t="n">
        <x:v>0</x:v>
      </x:c>
      <x:c r="L29" s="15" t="n">
        <x:f>I29*J29*(1-K29)</x:f>
        <x:v>5680000</x:v>
      </x:c>
      <x:c r="M29" s="15" t="n">
        <x:v>505000</x:v>
      </x:c>
      <x:c r="N29" s="15" t="n">
        <x:f>L29-(I29*M29)</x:f>
        <x:v>1640000</x:v>
      </x:c>
      <x:c r="O29" s="19" t="n">
        <x:f>IFERROR(N29/L29,0)</x:f>
        <x:v>0.2887323943661972</x:v>
      </x:c>
      <x:c r="P29" s="12" t="str">
        <x:v>배송중</x:v>
      </x:c>
      <x:c r="Q29" s="12" t="str">
        <x:v>이서연</x:v>
      </x:c>
    </x:row>
    <x:row r="30">
      <x:c r="A30" s="12" t="str">
        <x:v>ORD-2026-0029</x:v>
      </x:c>
      <x:c r="B30" s="13" t="n">
        <x:v>46136</x:v>
      </x:c>
      <x:c r="C30" s="12" t="str">
        <x:v>스마트팩토리</x:v>
      </x:c>
      <x:c r="D30" s="12" t="str">
        <x:v>서울</x:v>
      </x:c>
      <x:c r="E30" s="12" t="str">
        <x:v>온라인</x:v>
      </x:c>
      <x:c r="F30" s="12" t="str">
        <x:v>NB-002</x:v>
      </x:c>
      <x:c r="G30" s="12" t="str">
        <x:v>NovaBook Pro 16</x:v>
      </x:c>
      <x:c r="H30" s="12" t="str">
        <x:v>노트북</x:v>
      </x:c>
      <x:c r="I30" s="12" t="n">
        <x:v>2</x:v>
      </x:c>
      <x:c r="J30" s="15" t="n">
        <x:v>1680000</x:v>
      </x:c>
      <x:c r="K30" s="17" t="n">
        <x:v>0</x:v>
      </x:c>
      <x:c r="L30" s="15" t="n">
        <x:f>I30*J30*(1-K30)</x:f>
        <x:v>3360000</x:v>
      </x:c>
      <x:c r="M30" s="15" t="n">
        <x:v>1240000</x:v>
      </x:c>
      <x:c r="N30" s="15" t="n">
        <x:f>L30-(I30*M30)</x:f>
        <x:v>880000</x:v>
      </x:c>
      <x:c r="O30" s="19" t="n">
        <x:f>IFERROR(N30/L30,0)</x:f>
        <x:v>0.2619047619047619</x:v>
      </x:c>
      <x:c r="P30" s="12" t="str">
        <x:v>배송완료</x:v>
      </x:c>
      <x:c r="Q30" s="12" t="str">
        <x:v>이서연</x:v>
      </x:c>
    </x:row>
    <x:row r="31">
      <x:c r="A31" s="12" t="str">
        <x:v>ORD-2026-0030</x:v>
      </x:c>
      <x:c r="B31" s="13" t="n">
        <x:v>46147</x:v>
      </x:c>
      <x:c r="C31" s="12" t="str">
        <x:v>그린물류</x:v>
      </x:c>
      <x:c r="D31" s="12" t="str">
        <x:v>서울</x:v>
      </x:c>
      <x:c r="E31" s="12" t="str">
        <x:v>오프라인</x:v>
      </x:c>
      <x:c r="F31" s="12" t="str">
        <x:v>AC-003</x:v>
      </x:c>
      <x:c r="G31" s="12" t="str">
        <x:v>USB-C Dock</x:v>
      </x:c>
      <x:c r="H31" s="12" t="str">
        <x:v>주변기기</x:v>
      </x:c>
      <x:c r="I31" s="12" t="n">
        <x:v>8</x:v>
      </x:c>
      <x:c r="J31" s="15" t="n">
        <x:v>189000</x:v>
      </x:c>
      <x:c r="K31" s="17" t="n">
        <x:v>0</x:v>
      </x:c>
      <x:c r="L31" s="15" t="n">
        <x:f>I31*J31*(1-K31)</x:f>
        <x:v>1512000</x:v>
      </x:c>
      <x:c r="M31" s="15" t="n">
        <x:v>116000</x:v>
      </x:c>
      <x:c r="N31" s="15" t="n">
        <x:f>L31-(I31*M31)</x:f>
        <x:v>584000</x:v>
      </x:c>
      <x:c r="O31" s="19" t="n">
        <x:f>IFERROR(N31/L31,0)</x:f>
        <x:v>0.3862433862433862</x:v>
      </x:c>
      <x:c r="P31" s="12" t="str">
        <x:v>배송중</x:v>
      </x:c>
      <x:c r="Q31" s="12" t="str">
        <x:v>김민준</x:v>
      </x:c>
    </x:row>
    <x:row r="32">
      <x:c r="A32" s="12" t="str">
        <x:v>ORD-2026-0031</x:v>
      </x:c>
      <x:c r="B32" s="13" t="n">
        <x:v>46090</x:v>
      </x:c>
      <x:c r="C32" s="12" t="str">
        <x:v>그린물류</x:v>
      </x:c>
      <x:c r="D32" s="12" t="str">
        <x:v>강원</x:v>
      </x:c>
      <x:c r="E32" s="12" t="str">
        <x:v>마켓플레이스</x:v>
      </x:c>
      <x:c r="F32" s="12" t="str">
        <x:v>AC-003</x:v>
      </x:c>
      <x:c r="G32" s="12" t="str">
        <x:v>USB-C Dock</x:v>
      </x:c>
      <x:c r="H32" s="12" t="str">
        <x:v>주변기기</x:v>
      </x:c>
      <x:c r="I32" s="12" t="n">
        <x:v>8</x:v>
      </x:c>
      <x:c r="J32" s="15" t="n">
        <x:v>189000</x:v>
      </x:c>
      <x:c r="K32" s="17" t="n">
        <x:v>0.03</x:v>
      </x:c>
      <x:c r="L32" s="15" t="n">
        <x:f>I32*J32*(1-K32)</x:f>
        <x:v>1466640</x:v>
      </x:c>
      <x:c r="M32" s="15" t="n">
        <x:v>116000</x:v>
      </x:c>
      <x:c r="N32" s="15" t="n">
        <x:f>L32-(I32*M32)</x:f>
        <x:v>538640</x:v>
      </x:c>
      <x:c r="O32" s="19" t="n">
        <x:f>IFERROR(N32/L32,0)</x:f>
        <x:v>0.367261222931326</x:v>
      </x:c>
      <x:c r="P32" s="12" t="str">
        <x:v>배송완료</x:v>
      </x:c>
      <x:c r="Q32" s="12" t="str">
        <x:v>이서연</x:v>
      </x:c>
    </x:row>
    <x:row r="33">
      <x:c r="A33" s="12" t="str">
        <x:v>ORD-2026-0032</x:v>
      </x:c>
      <x:c r="B33" s="13" t="n">
        <x:v>46078</x:v>
      </x:c>
      <x:c r="C33" s="12" t="str">
        <x:v>스마트팩토리</x:v>
      </x:c>
      <x:c r="D33" s="12" t="str">
        <x:v>서울</x:v>
      </x:c>
      <x:c r="E33" s="12" t="str">
        <x:v>B2B</x:v>
      </x:c>
      <x:c r="F33" s="12" t="str">
        <x:v>AC-001</x:v>
      </x:c>
      <x:c r="G33" s="12" t="str">
        <x:v>Mechanical Keyboard</x:v>
      </x:c>
      <x:c r="H33" s="12" t="str">
        <x:v>주변기기</x:v>
      </x:c>
      <x:c r="I33" s="12" t="n">
        <x:v>1</x:v>
      </x:c>
      <x:c r="J33" s="15" t="n">
        <x:v>129000</x:v>
      </x:c>
      <x:c r="K33" s="17" t="n">
        <x:v>0.1</x:v>
      </x:c>
      <x:c r="L33" s="15" t="n">
        <x:f>I33*J33*(1-K33)</x:f>
        <x:v>116100</x:v>
      </x:c>
      <x:c r="M33" s="15" t="n">
        <x:v>72000</x:v>
      </x:c>
      <x:c r="N33" s="15" t="n">
        <x:f>L33-(I33*M33)</x:f>
        <x:v>44100</x:v>
      </x:c>
      <x:c r="O33" s="19" t="n">
        <x:f>IFERROR(N33/L33,0)</x:f>
        <x:v>0.3798449612403101</x:v>
      </x:c>
      <x:c r="P33" s="12" t="str">
        <x:v>배송완료</x:v>
      </x:c>
      <x:c r="Q33" s="12" t="str">
        <x:v>김민준</x:v>
      </x:c>
    </x:row>
    <x:row r="34">
      <x:c r="A34" s="12" t="str">
        <x:v>ORD-2026-0033</x:v>
      </x:c>
      <x:c r="B34" s="13" t="n">
        <x:v>46145</x:v>
      </x:c>
      <x:c r="C34" s="12" t="str">
        <x:v>스마트팩토리</x:v>
      </x:c>
      <x:c r="D34" s="12" t="str">
        <x:v>서울</x:v>
      </x:c>
      <x:c r="E34" s="12" t="str">
        <x:v>오프라인</x:v>
      </x:c>
      <x:c r="F34" s="12" t="str">
        <x:v>SV-002</x:v>
      </x:c>
      <x:c r="G34" s="12" t="str">
        <x:v>GPU Server G2</x:v>
      </x:c>
      <x:c r="H34" s="12" t="str">
        <x:v>서버</x:v>
      </x:c>
      <x:c r="I34" s="12" t="n">
        <x:v>1</x:v>
      </x:c>
      <x:c r="J34" s="15" t="n">
        <x:v>11800000</x:v>
      </x:c>
      <x:c r="K34" s="17" t="n">
        <x:v>0</x:v>
      </x:c>
      <x:c r="L34" s="15" t="n">
        <x:f>I34*J34*(1-K34)</x:f>
        <x:v>11800000</x:v>
      </x:c>
      <x:c r="M34" s="15" t="n">
        <x:v>9740000</x:v>
      </x:c>
      <x:c r="N34" s="15" t="n">
        <x:f>L34-(I34*M34)</x:f>
        <x:v>2060000</x:v>
      </x:c>
      <x:c r="O34" s="19" t="n">
        <x:f>IFERROR(N34/L34,0)</x:f>
        <x:v>0.17457627118644067</x:v>
      </x:c>
      <x:c r="P34" s="12" t="str">
        <x:v>배송완료</x:v>
      </x:c>
      <x:c r="Q34" s="12" t="str">
        <x:v>정하늘</x:v>
      </x:c>
    </x:row>
    <x:row r="35">
      <x:c r="A35" s="12" t="str">
        <x:v>ORD-2026-0034</x:v>
      </x:c>
      <x:c r="B35" s="13" t="n">
        <x:v>46195</x:v>
      </x:c>
      <x:c r="C35" s="12" t="str">
        <x:v>미래상사</x:v>
      </x:c>
      <x:c r="D35" s="12" t="str">
        <x:v>호남</x:v>
      </x:c>
      <x:c r="E35" s="12" t="str">
        <x:v>오프라인</x:v>
      </x:c>
      <x:c r="F35" s="12" t="str">
        <x:v>NB-002</x:v>
      </x:c>
      <x:c r="G35" s="12" t="str">
        <x:v>NovaBook Pro 16</x:v>
      </x:c>
      <x:c r="H35" s="12" t="str">
        <x:v>노트북</x:v>
      </x:c>
      <x:c r="I35" s="12" t="n">
        <x:v>4</x:v>
      </x:c>
      <x:c r="J35" s="15" t="n">
        <x:v>1680000</x:v>
      </x:c>
      <x:c r="K35" s="17" t="n">
        <x:v>0.05</x:v>
      </x:c>
      <x:c r="L35" s="15" t="n">
        <x:f>I35*J35*(1-K35)</x:f>
        <x:v>6384000</x:v>
      </x:c>
      <x:c r="M35" s="15" t="n">
        <x:v>1240000</x:v>
      </x:c>
      <x:c r="N35" s="15" t="n">
        <x:f>L35-(I35*M35)</x:f>
        <x:v>1424000</x:v>
      </x:c>
      <x:c r="O35" s="19" t="n">
        <x:f>IFERROR(N35/L35,0)</x:f>
        <x:v>0.22305764411027568</x:v>
      </x:c>
      <x:c r="P35" s="12" t="str">
        <x:v>처리중</x:v>
      </x:c>
      <x:c r="Q35" s="12" t="str">
        <x:v>정하늘</x:v>
      </x:c>
    </x:row>
    <x:row r="36">
      <x:c r="A36" s="12" t="str">
        <x:v>ORD-2026-0035</x:v>
      </x:c>
      <x:c r="B36" s="13" t="n">
        <x:v>46181</x:v>
      </x:c>
      <x:c r="C36" s="12" t="str">
        <x:v>비전교육</x:v>
      </x:c>
      <x:c r="D36" s="12" t="str">
        <x:v>호남</x:v>
      </x:c>
      <x:c r="E36" s="12" t="str">
        <x:v>B2B</x:v>
      </x:c>
      <x:c r="F36" s="12" t="str">
        <x:v>NB-001</x:v>
      </x:c>
      <x:c r="G36" s="12" t="str">
        <x:v>NovaBook Air 14</x:v>
      </x:c>
      <x:c r="H36" s="12" t="str">
        <x:v>노트북</x:v>
      </x:c>
      <x:c r="I36" s="12" t="n">
        <x:v>2</x:v>
      </x:c>
      <x:c r="J36" s="15" t="n">
        <x:v>980000</x:v>
      </x:c>
      <x:c r="K36" s="17" t="n">
        <x:v>0.05</x:v>
      </x:c>
      <x:c r="L36" s="15" t="n">
        <x:f>I36*J36*(1-K36)</x:f>
        <x:v>1862000</x:v>
      </x:c>
      <x:c r="M36" s="15" t="n">
        <x:v>720000</x:v>
      </x:c>
      <x:c r="N36" s="15" t="n">
        <x:f>L36-(I36*M36)</x:f>
        <x:v>422000</x:v>
      </x:c>
      <x:c r="O36" s="19" t="n">
        <x:f>IFERROR(N36/L36,0)</x:f>
        <x:v>0.22663802363050484</x:v>
      </x:c>
      <x:c r="P36" s="12" t="str">
        <x:v>배송완료</x:v>
      </x:c>
      <x:c r="Q36" s="12" t="str">
        <x:v>이서연</x:v>
      </x:c>
    </x:row>
    <x:row r="37">
      <x:c r="A37" s="12" t="str">
        <x:v>ORD-2026-0036</x:v>
      </x:c>
      <x:c r="B37" s="13" t="n">
        <x:v>46084</x:v>
      </x:c>
      <x:c r="C37" s="12" t="str">
        <x:v>세종연구소</x:v>
      </x:c>
      <x:c r="D37" s="12" t="str">
        <x:v>강원</x:v>
      </x:c>
      <x:c r="E37" s="12" t="str">
        <x:v>B2B</x:v>
      </x:c>
      <x:c r="F37" s="12" t="str">
        <x:v>AC-002</x:v>
      </x:c>
      <x:c r="G37" s="12" t="str">
        <x:v>Wireless Mouse</x:v>
      </x:c>
      <x:c r="H37" s="12" t="str">
        <x:v>주변기기</x:v>
      </x:c>
      <x:c r="I37" s="12" t="n">
        <x:v>5</x:v>
      </x:c>
      <x:c r="J37" s="15" t="n">
        <x:v>69000</x:v>
      </x:c>
      <x:c r="K37" s="17" t="n">
        <x:v>0.05</x:v>
      </x:c>
      <x:c r="L37" s="15" t="n">
        <x:f>I37*J37*(1-K37)</x:f>
        <x:v>327750</x:v>
      </x:c>
      <x:c r="M37" s="15" t="n">
        <x:v>35000</x:v>
      </x:c>
      <x:c r="N37" s="15" t="n">
        <x:f>L37-(I37*M37)</x:f>
        <x:v>152750</x:v>
      </x:c>
      <x:c r="O37" s="19" t="n">
        <x:f>IFERROR(N37/L37,0)</x:f>
        <x:v>0.4660564454614798</x:v>
      </x:c>
      <x:c r="P37" s="12" t="str">
        <x:v>배송중</x:v>
      </x:c>
      <x:c r="Q37" s="12" t="str">
        <x:v>박지훈</x:v>
      </x:c>
    </x:row>
    <x:row r="38">
      <x:c r="A38" s="12" t="str">
        <x:v>ORD-2026-0037</x:v>
      </x:c>
      <x:c r="B38" s="13" t="n">
        <x:v>46025</x:v>
      </x:c>
      <x:c r="C38" s="12" t="str">
        <x:v>비전교육</x:v>
      </x:c>
      <x:c r="D38" s="12" t="str">
        <x:v>서울</x:v>
      </x:c>
      <x:c r="E38" s="12" t="str">
        <x:v>온라인</x:v>
      </x:c>
      <x:c r="F38" s="12" t="str">
        <x:v>NB-002</x:v>
      </x:c>
      <x:c r="G38" s="12" t="str">
        <x:v>NovaBook Pro 16</x:v>
      </x:c>
      <x:c r="H38" s="12" t="str">
        <x:v>노트북</x:v>
      </x:c>
      <x:c r="I38" s="12" t="n">
        <x:v>8</x:v>
      </x:c>
      <x:c r="J38" s="15" t="n">
        <x:v>1680000</x:v>
      </x:c>
      <x:c r="K38" s="17" t="n">
        <x:v>0.1</x:v>
      </x:c>
      <x:c r="L38" s="15" t="n">
        <x:f>I38*J38*(1-K38)</x:f>
        <x:v>12096000</x:v>
      </x:c>
      <x:c r="M38" s="15" t="n">
        <x:v>1240000</x:v>
      </x:c>
      <x:c r="N38" s="15" t="n">
        <x:f>L38-(I38*M38)</x:f>
        <x:v>2176000</x:v>
      </x:c>
      <x:c r="O38" s="19" t="n">
        <x:f>IFERROR(N38/L38,0)</x:f>
        <x:v>0.17989417989417988</x:v>
      </x:c>
      <x:c r="P38" s="12" t="str">
        <x:v>처리중</x:v>
      </x:c>
      <x:c r="Q38" s="12" t="str">
        <x:v>이서연</x:v>
      </x:c>
    </x:row>
    <x:row r="39">
      <x:c r="A39" s="12" t="str">
        <x:v>ORD-2026-0038</x:v>
      </x:c>
      <x:c r="B39" s="13" t="n">
        <x:v>46090</x:v>
      </x:c>
      <x:c r="C39" s="12" t="str">
        <x:v>미래상사</x:v>
      </x:c>
      <x:c r="D39" s="12" t="str">
        <x:v>경기</x:v>
      </x:c>
      <x:c r="E39" s="12" t="str">
        <x:v>B2B</x:v>
      </x:c>
      <x:c r="F39" s="12" t="str">
        <x:v>SV-001</x:v>
      </x:c>
      <x:c r="G39" s="12" t="str">
        <x:v>Edge Server S1</x:v>
      </x:c>
      <x:c r="H39" s="12" t="str">
        <x:v>서버</x:v>
      </x:c>
      <x:c r="I39" s="12" t="n">
        <x:v>1</x:v>
      </x:c>
      <x:c r="J39" s="15" t="n">
        <x:v>4250000</x:v>
      </x:c>
      <x:c r="K39" s="17" t="n">
        <x:v>0.03</x:v>
      </x:c>
      <x:c r="L39" s="15" t="n">
        <x:f>I39*J39*(1-K39)</x:f>
        <x:v>4122500</x:v>
      </x:c>
      <x:c r="M39" s="15" t="n">
        <x:v>3380000</x:v>
      </x:c>
      <x:c r="N39" s="15" t="n">
        <x:f>L39-(I39*M39)</x:f>
        <x:v>742500</x:v>
      </x:c>
      <x:c r="O39" s="19" t="n">
        <x:f>IFERROR(N39/L39,0)</x:f>
        <x:v>0.1801091570648878</x:v>
      </x:c>
      <x:c r="P39" s="12" t="str">
        <x:v>배송완료</x:v>
      </x:c>
      <x:c r="Q39" s="12" t="str">
        <x:v>이서연</x:v>
      </x:c>
    </x:row>
    <x:row r="40">
      <x:c r="A40" s="12" t="str">
        <x:v>ORD-2026-0039</x:v>
      </x:c>
      <x:c r="B40" s="13" t="n">
        <x:v>46162</x:v>
      </x:c>
      <x:c r="C40" s="12" t="str">
        <x:v>스마트팩토리</x:v>
      </x:c>
      <x:c r="D40" s="12" t="str">
        <x:v>서울</x:v>
      </x:c>
      <x:c r="E40" s="12" t="str">
        <x:v>B2B</x:v>
      </x:c>
      <x:c r="F40" s="12" t="str">
        <x:v>SW-001</x:v>
      </x:c>
      <x:c r="G40" s="12" t="str">
        <x:v>Office Suite Annual</x:v>
      </x:c>
      <x:c r="H40" s="12" t="str">
        <x:v>소프트웨어</x:v>
      </x:c>
      <x:c r="I40" s="12" t="n">
        <x:v>5</x:v>
      </x:c>
      <x:c r="J40" s="15" t="n">
        <x:v>148000</x:v>
      </x:c>
      <x:c r="K40" s="17" t="n">
        <x:v>0.1</x:v>
      </x:c>
      <x:c r="L40" s="15" t="n">
        <x:f>I40*J40*(1-K40)</x:f>
        <x:v>666000</x:v>
      </x:c>
      <x:c r="M40" s="15" t="n">
        <x:v>42000</x:v>
      </x:c>
      <x:c r="N40" s="15" t="n">
        <x:f>L40-(I40*M40)</x:f>
        <x:v>456000</x:v>
      </x:c>
      <x:c r="O40" s="19" t="n">
        <x:f>IFERROR(N40/L40,0)</x:f>
        <x:v>0.6846846846846847</x:v>
      </x:c>
      <x:c r="P40" s="12" t="str">
        <x:v>취소</x:v>
      </x:c>
      <x:c r="Q40" s="12" t="str">
        <x:v>김민준</x:v>
      </x:c>
    </x:row>
    <x:row r="41">
      <x:c r="A41" s="12" t="str">
        <x:v>ORD-2026-0040</x:v>
      </x:c>
      <x:c r="B41" s="13" t="n">
        <x:v>46090</x:v>
      </x:c>
      <x:c r="C41" s="12" t="str">
        <x:v>스마트팩토리</x:v>
      </x:c>
      <x:c r="D41" s="12" t="str">
        <x:v>경기</x:v>
      </x:c>
      <x:c r="E41" s="12" t="str">
        <x:v>B2B</x:v>
      </x:c>
      <x:c r="F41" s="12" t="str">
        <x:v>MN-001</x:v>
      </x:c>
      <x:c r="G41" s="12" t="str">
        <x:v>Vision 27Q</x:v>
      </x:c>
      <x:c r="H41" s="12" t="str">
        <x:v>모니터</x:v>
      </x:c>
      <x:c r="I41" s="12" t="n">
        <x:v>2</x:v>
      </x:c>
      <x:c r="J41" s="15" t="n">
        <x:v>420000</x:v>
      </x:c>
      <x:c r="K41" s="17" t="n">
        <x:v>0</x:v>
      </x:c>
      <x:c r="L41" s="15" t="n">
        <x:f>I41*J41*(1-K41)</x:f>
        <x:v>840000</x:v>
      </x:c>
      <x:c r="M41" s="15" t="n">
        <x:v>285000</x:v>
      </x:c>
      <x:c r="N41" s="15" t="n">
        <x:f>L41-(I41*M41)</x:f>
        <x:v>270000</x:v>
      </x:c>
      <x:c r="O41" s="19" t="n">
        <x:f>IFERROR(N41/L41,0)</x:f>
        <x:v>0.32142857142857145</x:v>
      </x:c>
      <x:c r="P41" s="12" t="str">
        <x:v>배송완료</x:v>
      </x:c>
      <x:c r="Q41" s="12" t="str">
        <x:v>정하늘</x:v>
      </x:c>
    </x:row>
    <x:row r="42">
      <x:c r="A42" s="12" t="str">
        <x:v>ORD-2026-0041</x:v>
      </x:c>
      <x:c r="B42" s="13" t="n">
        <x:v>46206</x:v>
      </x:c>
      <x:c r="C42" s="12" t="str">
        <x:v>알파솔루션</x:v>
      </x:c>
      <x:c r="D42" s="12" t="str">
        <x:v>호남</x:v>
      </x:c>
      <x:c r="E42" s="12" t="str">
        <x:v>마켓플레이스</x:v>
      </x:c>
      <x:c r="F42" s="12" t="str">
        <x:v>MN-002</x:v>
      </x:c>
      <x:c r="G42" s="12" t="str">
        <x:v>Vision UltraWide 34</x:v>
      </x:c>
      <x:c r="H42" s="12" t="str">
        <x:v>모니터</x:v>
      </x:c>
      <x:c r="I42" s="12" t="n">
        <x:v>6</x:v>
      </x:c>
      <x:c r="J42" s="15" t="n">
        <x:v>710000</x:v>
      </x:c>
      <x:c r="K42" s="17" t="n">
        <x:v>0</x:v>
      </x:c>
      <x:c r="L42" s="15" t="n">
        <x:f>I42*J42*(1-K42)</x:f>
        <x:v>4260000</x:v>
      </x:c>
      <x:c r="M42" s="15" t="n">
        <x:v>505000</x:v>
      </x:c>
      <x:c r="N42" s="15" t="n">
        <x:f>L42-(I42*M42)</x:f>
        <x:v>1230000</x:v>
      </x:c>
      <x:c r="O42" s="19" t="n">
        <x:f>IFERROR(N42/L42,0)</x:f>
        <x:v>0.2887323943661972</x:v>
      </x:c>
      <x:c r="P42" s="12" t="str">
        <x:v>배송완료</x:v>
      </x:c>
      <x:c r="Q42" s="12" t="str">
        <x:v>김민준</x:v>
      </x:c>
    </x:row>
    <x:row r="43">
      <x:c r="A43" s="12" t="str">
        <x:v>ORD-2026-0042</x:v>
      </x:c>
      <x:c r="B43" s="13" t="n">
        <x:v>46185</x:v>
      </x:c>
      <x:c r="C43" s="12" t="str">
        <x:v>알파솔루션</x:v>
      </x:c>
      <x:c r="D43" s="12" t="str">
        <x:v>서울</x:v>
      </x:c>
      <x:c r="E43" s="12" t="str">
        <x:v>온라인</x:v>
      </x:c>
      <x:c r="F43" s="12" t="str">
        <x:v>NB-002</x:v>
      </x:c>
      <x:c r="G43" s="12" t="str">
        <x:v>NovaBook Pro 16</x:v>
      </x:c>
      <x:c r="H43" s="12" t="str">
        <x:v>노트북</x:v>
      </x:c>
      <x:c r="I43" s="12" t="n">
        <x:v>7</x:v>
      </x:c>
      <x:c r="J43" s="15" t="n">
        <x:v>1680000</x:v>
      </x:c>
      <x:c r="K43" s="17" t="n">
        <x:v>0.2</x:v>
      </x:c>
      <x:c r="L43" s="15" t="n">
        <x:f>I43*J43*(1-K43)</x:f>
        <x:v>9408000</x:v>
      </x:c>
      <x:c r="M43" s="15" t="n">
        <x:v>1240000</x:v>
      </x:c>
      <x:c r="N43" s="15" t="n">
        <x:f>L43-(I43*M43)</x:f>
        <x:v>728000</x:v>
      </x:c>
      <x:c r="O43" s="19" t="n">
        <x:f>IFERROR(N43/L43,0)</x:f>
        <x:v>0.07738095238095238</x:v>
      </x:c>
      <x:c r="P43" s="12" t="str">
        <x:v>배송완료</x:v>
      </x:c>
      <x:c r="Q43" s="12" t="str">
        <x:v>이서연</x:v>
      </x:c>
    </x:row>
    <x:row r="44">
      <x:c r="A44" s="12" t="str">
        <x:v>ORD-2026-0043</x:v>
      </x:c>
      <x:c r="B44" s="13" t="n">
        <x:v>46064</x:v>
      </x:c>
      <x:c r="C44" s="12" t="str">
        <x:v>그린물류</x:v>
      </x:c>
      <x:c r="D44" s="12" t="str">
        <x:v>호남</x:v>
      </x:c>
      <x:c r="E44" s="12" t="str">
        <x:v>온라인</x:v>
      </x:c>
      <x:c r="F44" s="12" t="str">
        <x:v>AC-001</x:v>
      </x:c>
      <x:c r="G44" s="12" t="str">
        <x:v>Mechanical Keyboard</x:v>
      </x:c>
      <x:c r="H44" s="12" t="str">
        <x:v>주변기기</x:v>
      </x:c>
      <x:c r="I44" s="12" t="n">
        <x:v>8</x:v>
      </x:c>
      <x:c r="J44" s="15" t="n">
        <x:v>129000</x:v>
      </x:c>
      <x:c r="K44" s="17" t="n">
        <x:v>0.1</x:v>
      </x:c>
      <x:c r="L44" s="15" t="n">
        <x:f>I44*J44*(1-K44)</x:f>
        <x:v>928800</x:v>
      </x:c>
      <x:c r="M44" s="15" t="n">
        <x:v>72000</x:v>
      </x:c>
      <x:c r="N44" s="15" t="n">
        <x:f>L44-(I44*M44)</x:f>
        <x:v>352800</x:v>
      </x:c>
      <x:c r="O44" s="19" t="n">
        <x:f>IFERROR(N44/L44,0)</x:f>
        <x:v>0.3798449612403101</x:v>
      </x:c>
      <x:c r="P44" s="12" t="str">
        <x:v>배송완료</x:v>
      </x:c>
      <x:c r="Q44" s="12" t="str">
        <x:v>김민준</x:v>
      </x:c>
    </x:row>
    <x:row r="45">
      <x:c r="A45" s="12" t="str">
        <x:v>ORD-2026-0044</x:v>
      </x:c>
      <x:c r="B45" s="13" t="n">
        <x:v>46162</x:v>
      </x:c>
      <x:c r="C45" s="12" t="str">
        <x:v>서울디자인</x:v>
      </x:c>
      <x:c r="D45" s="12" t="str">
        <x:v>호남</x:v>
      </x:c>
      <x:c r="E45" s="12" t="str">
        <x:v>오프라인</x:v>
      </x:c>
      <x:c r="F45" s="12" t="str">
        <x:v>MN-001</x:v>
      </x:c>
      <x:c r="G45" s="12" t="str">
        <x:v>Vision 27Q</x:v>
      </x:c>
      <x:c r="H45" s="12" t="str">
        <x:v>모니터</x:v>
      </x:c>
      <x:c r="I45" s="12" t="n">
        <x:v>1</x:v>
      </x:c>
      <x:c r="J45" s="15" t="n">
        <x:v>420000</x:v>
      </x:c>
      <x:c r="K45" s="17" t="n">
        <x:v>0.2</x:v>
      </x:c>
      <x:c r="L45" s="15" t="n">
        <x:f>I45*J45*(1-K45)</x:f>
        <x:v>336000</x:v>
      </x:c>
      <x:c r="M45" s="15" t="n">
        <x:v>285000</x:v>
      </x:c>
      <x:c r="N45" s="15" t="n">
        <x:f>L45-(I45*M45)</x:f>
        <x:v>51000</x:v>
      </x:c>
      <x:c r="O45" s="19" t="n">
        <x:f>IFERROR(N45/L45,0)</x:f>
        <x:v>0.15178571428571427</x:v>
      </x:c>
      <x:c r="P45" s="12" t="str">
        <x:v>배송중</x:v>
      </x:c>
      <x:c r="Q45" s="12" t="str">
        <x:v>이서연</x:v>
      </x:c>
    </x:row>
    <x:row r="46">
      <x:c r="A46" s="12" t="str">
        <x:v>ORD-2026-0045</x:v>
      </x:c>
      <x:c r="B46" s="13" t="n">
        <x:v>46101</x:v>
      </x:c>
      <x:c r="C46" s="12" t="str">
        <x:v>한빛테크</x:v>
      </x:c>
      <x:c r="D46" s="12" t="str">
        <x:v>충청</x:v>
      </x:c>
      <x:c r="E46" s="12" t="str">
        <x:v>오프라인</x:v>
      </x:c>
      <x:c r="F46" s="12" t="str">
        <x:v>NB-001</x:v>
      </x:c>
      <x:c r="G46" s="12" t="str">
        <x:v>NovaBook Air 14</x:v>
      </x:c>
      <x:c r="H46" s="12" t="str">
        <x:v>노트북</x:v>
      </x:c>
      <x:c r="I46" s="12" t="n">
        <x:v>6</x:v>
      </x:c>
      <x:c r="J46" s="15" t="n">
        <x:v>980000</x:v>
      </x:c>
      <x:c r="K46" s="17" t="n">
        <x:v>0.2</x:v>
      </x:c>
      <x:c r="L46" s="15" t="n">
        <x:f>I46*J46*(1-K46)</x:f>
        <x:v>4704000</x:v>
      </x:c>
      <x:c r="M46" s="15" t="n">
        <x:v>720000</x:v>
      </x:c>
      <x:c r="N46" s="15" t="n">
        <x:f>L46-(I46*M46)</x:f>
        <x:v>384000</x:v>
      </x:c>
      <x:c r="O46" s="19" t="n">
        <x:f>IFERROR(N46/L46,0)</x:f>
        <x:v>0.08163265306122448</x:v>
      </x:c>
      <x:c r="P46" s="12" t="str">
        <x:v>취소</x:v>
      </x:c>
      <x:c r="Q46" s="12" t="str">
        <x:v>이서연</x:v>
      </x:c>
    </x:row>
    <x:row r="47">
      <x:c r="A47" s="12" t="str">
        <x:v>ORD-2026-0046</x:v>
      </x:c>
      <x:c r="B47" s="13" t="n">
        <x:v>46113</x:v>
      </x:c>
      <x:c r="C47" s="12" t="str">
        <x:v>세종연구소</x:v>
      </x:c>
      <x:c r="D47" s="12" t="str">
        <x:v>경기</x:v>
      </x:c>
      <x:c r="E47" s="12" t="str">
        <x:v>오프라인</x:v>
      </x:c>
      <x:c r="F47" s="12" t="str">
        <x:v>NB-002</x:v>
      </x:c>
      <x:c r="G47" s="12" t="str">
        <x:v>NovaBook Pro 16</x:v>
      </x:c>
      <x:c r="H47" s="12" t="str">
        <x:v>노트북</x:v>
      </x:c>
      <x:c r="I47" s="12" t="n">
        <x:v>7</x:v>
      </x:c>
      <x:c r="J47" s="15" t="n">
        <x:v>1680000</x:v>
      </x:c>
      <x:c r="K47" s="17" t="n">
        <x:v>0.1</x:v>
      </x:c>
      <x:c r="L47" s="15" t="n">
        <x:f>I47*J47*(1-K47)</x:f>
        <x:v>10584000</x:v>
      </x:c>
      <x:c r="M47" s="15" t="n">
        <x:v>1240000</x:v>
      </x:c>
      <x:c r="N47" s="15" t="n">
        <x:f>L47-(I47*M47)</x:f>
        <x:v>1904000</x:v>
      </x:c>
      <x:c r="O47" s="19" t="n">
        <x:f>IFERROR(N47/L47,0)</x:f>
        <x:v>0.17989417989417988</x:v>
      </x:c>
      <x:c r="P47" s="12" t="str">
        <x:v>배송완료</x:v>
      </x:c>
      <x:c r="Q47" s="12" t="str">
        <x:v>최유진</x:v>
      </x:c>
    </x:row>
    <x:row r="48">
      <x:c r="A48" s="12" t="str">
        <x:v>ORD-2026-0047</x:v>
      </x:c>
      <x:c r="B48" s="13" t="n">
        <x:v>46068</x:v>
      </x:c>
      <x:c r="C48" s="12" t="str">
        <x:v>그린물류</x:v>
      </x:c>
      <x:c r="D48" s="12" t="str">
        <x:v>강원</x:v>
      </x:c>
      <x:c r="E48" s="12" t="str">
        <x:v>오프라인</x:v>
      </x:c>
      <x:c r="F48" s="12" t="str">
        <x:v>NB-001</x:v>
      </x:c>
      <x:c r="G48" s="12" t="str">
        <x:v>NovaBook Air 14</x:v>
      </x:c>
      <x:c r="H48" s="12" t="str">
        <x:v>노트북</x:v>
      </x:c>
      <x:c r="I48" s="12" t="n">
        <x:v>6</x:v>
      </x:c>
      <x:c r="J48" s="15" t="n">
        <x:v>980000</x:v>
      </x:c>
      <x:c r="K48" s="17" t="n">
        <x:v>0.2</x:v>
      </x:c>
      <x:c r="L48" s="15" t="n">
        <x:f>I48*J48*(1-K48)</x:f>
        <x:v>4704000</x:v>
      </x:c>
      <x:c r="M48" s="15" t="n">
        <x:v>720000</x:v>
      </x:c>
      <x:c r="N48" s="15" t="n">
        <x:f>L48-(I48*M48)</x:f>
        <x:v>384000</x:v>
      </x:c>
      <x:c r="O48" s="19" t="n">
        <x:f>IFERROR(N48/L48,0)</x:f>
        <x:v>0.08163265306122448</x:v>
      </x:c>
      <x:c r="P48" s="12" t="str">
        <x:v>배송완료</x:v>
      </x:c>
      <x:c r="Q48" s="12" t="str">
        <x:v>이서연</x:v>
      </x:c>
    </x:row>
    <x:row r="49">
      <x:c r="A49" s="12" t="str">
        <x:v>ORD-2026-0048</x:v>
      </x:c>
      <x:c r="B49" s="13" t="n">
        <x:v>46120</x:v>
      </x:c>
      <x:c r="C49" s="12" t="str">
        <x:v>오로라랩</x:v>
      </x:c>
      <x:c r="D49" s="12" t="str">
        <x:v>경기</x:v>
      </x:c>
      <x:c r="E49" s="12" t="str">
        <x:v>오프라인</x:v>
      </x:c>
      <x:c r="F49" s="12" t="str">
        <x:v>NB-002</x:v>
      </x:c>
      <x:c r="G49" s="12" t="str">
        <x:v>NovaBook Pro 16</x:v>
      </x:c>
      <x:c r="H49" s="12" t="str">
        <x:v>노트북</x:v>
      </x:c>
      <x:c r="I49" s="12" t="n">
        <x:v>1</x:v>
      </x:c>
      <x:c r="J49" s="15" t="n">
        <x:v>1680000</x:v>
      </x:c>
      <x:c r="K49" s="17" t="n">
        <x:v>0.2</x:v>
      </x:c>
      <x:c r="L49" s="15" t="n">
        <x:f>I49*J49*(1-K49)</x:f>
        <x:v>1344000</x:v>
      </x:c>
      <x:c r="M49" s="15" t="n">
        <x:v>1240000</x:v>
      </x:c>
      <x:c r="N49" s="15" t="n">
        <x:f>L49-(I49*M49)</x:f>
        <x:v>104000</x:v>
      </x:c>
      <x:c r="O49" s="19" t="n">
        <x:f>IFERROR(N49/L49,0)</x:f>
        <x:v>0.07738095238095238</x:v>
      </x:c>
      <x:c r="P49" s="12" t="str">
        <x:v>배송중</x:v>
      </x:c>
      <x:c r="Q49" s="12" t="str">
        <x:v>박지훈</x:v>
      </x:c>
    </x:row>
    <x:row r="50">
      <x:c r="A50" s="12" t="str">
        <x:v>ORD-2026-0049</x:v>
      </x:c>
      <x:c r="B50" s="13" t="n">
        <x:v>46226</x:v>
      </x:c>
      <x:c r="C50" s="12" t="str">
        <x:v>한빛테크</x:v>
      </x:c>
      <x:c r="D50" s="12" t="str">
        <x:v>강원</x:v>
      </x:c>
      <x:c r="E50" s="12" t="str">
        <x:v>오프라인</x:v>
      </x:c>
      <x:c r="F50" s="12" t="str">
        <x:v>AC-001</x:v>
      </x:c>
      <x:c r="G50" s="12" t="str">
        <x:v>Mechanical Keyboard</x:v>
      </x:c>
      <x:c r="H50" s="12" t="str">
        <x:v>주변기기</x:v>
      </x:c>
      <x:c r="I50" s="12" t="n">
        <x:v>4</x:v>
      </x:c>
      <x:c r="J50" s="15" t="n">
        <x:v>129000</x:v>
      </x:c>
      <x:c r="K50" s="17" t="n">
        <x:v>0</x:v>
      </x:c>
      <x:c r="L50" s="15" t="n">
        <x:f>I50*J50*(1-K50)</x:f>
        <x:v>516000</x:v>
      </x:c>
      <x:c r="M50" s="15" t="n">
        <x:v>72000</x:v>
      </x:c>
      <x:c r="N50" s="15" t="n">
        <x:f>L50-(I50*M50)</x:f>
        <x:v>228000</x:v>
      </x:c>
      <x:c r="O50" s="19" t="n">
        <x:f>IFERROR(N50/L50,0)</x:f>
        <x:v>0.4418604651162791</x:v>
      </x:c>
      <x:c r="P50" s="12" t="str">
        <x:v>배송중</x:v>
      </x:c>
      <x:c r="Q50" s="12" t="str">
        <x:v>박지훈</x:v>
      </x:c>
    </x:row>
    <x:row r="51">
      <x:c r="A51" s="12" t="str">
        <x:v>ORD-2026-0050</x:v>
      </x:c>
      <x:c r="B51" s="13" t="n">
        <x:v>46040</x:v>
      </x:c>
      <x:c r="C51" s="12" t="str">
        <x:v>스마트팩토리</x:v>
      </x:c>
      <x:c r="D51" s="12" t="str">
        <x:v>영남</x:v>
      </x:c>
      <x:c r="E51" s="12" t="str">
        <x:v>B2B</x:v>
      </x:c>
      <x:c r="F51" s="12" t="str">
        <x:v>AC-001</x:v>
      </x:c>
      <x:c r="G51" s="12" t="str">
        <x:v>Mechanical Keyboard</x:v>
      </x:c>
      <x:c r="H51" s="12" t="str">
        <x:v>주변기기</x:v>
      </x:c>
      <x:c r="I51" s="12" t="n">
        <x:v>5</x:v>
      </x:c>
      <x:c r="J51" s="15" t="n">
        <x:v>129000</x:v>
      </x:c>
      <x:c r="K51" s="17" t="n">
        <x:v>0.03</x:v>
      </x:c>
      <x:c r="L51" s="15" t="n">
        <x:f>I51*J51*(1-K51)</x:f>
        <x:v>625650</x:v>
      </x:c>
      <x:c r="M51" s="15" t="n">
        <x:v>72000</x:v>
      </x:c>
      <x:c r="N51" s="15" t="n">
        <x:f>L51-(I51*M51)</x:f>
        <x:v>265650</x:v>
      </x:c>
      <x:c r="O51" s="19" t="n">
        <x:f>IFERROR(N51/L51,0)</x:f>
        <x:v>0.42459841764564854</x:v>
      </x:c>
      <x:c r="P51" s="12" t="str">
        <x:v>배송완료</x:v>
      </x:c>
      <x:c r="Q51" s="12" t="str">
        <x:v>김민준</x:v>
      </x:c>
    </x:row>
    <x:row r="52">
      <x:c r="A52" s="12" t="str">
        <x:v>ORD-2026-0051</x:v>
      </x:c>
      <x:c r="B52" s="13" t="n">
        <x:v>46068</x:v>
      </x:c>
      <x:c r="C52" s="12" t="str">
        <x:v>미래상사</x:v>
      </x:c>
      <x:c r="D52" s="12" t="str">
        <x:v>호남</x:v>
      </x:c>
      <x:c r="E52" s="12" t="str">
        <x:v>마켓플레이스</x:v>
      </x:c>
      <x:c r="F52" s="12" t="str">
        <x:v>AC-001</x:v>
      </x:c>
      <x:c r="G52" s="12" t="str">
        <x:v>Mechanical Keyboard</x:v>
      </x:c>
      <x:c r="H52" s="12" t="str">
        <x:v>주변기기</x:v>
      </x:c>
      <x:c r="I52" s="12" t="n">
        <x:v>5</x:v>
      </x:c>
      <x:c r="J52" s="15" t="n">
        <x:v>129000</x:v>
      </x:c>
      <x:c r="K52" s="17" t="n">
        <x:v>0</x:v>
      </x:c>
      <x:c r="L52" s="15" t="n">
        <x:f>I52*J52*(1-K52)</x:f>
        <x:v>645000</x:v>
      </x:c>
      <x:c r="M52" s="15" t="n">
        <x:v>72000</x:v>
      </x:c>
      <x:c r="N52" s="15" t="n">
        <x:f>L52-(I52*M52)</x:f>
        <x:v>285000</x:v>
      </x:c>
      <x:c r="O52" s="19" t="n">
        <x:f>IFERROR(N52/L52,0)</x:f>
        <x:v>0.4418604651162791</x:v>
      </x:c>
      <x:c r="P52" s="12" t="str">
        <x:v>배송완료</x:v>
      </x:c>
      <x:c r="Q52" s="12" t="str">
        <x:v>오세훈</x:v>
      </x:c>
    </x:row>
    <x:row r="53">
      <x:c r="A53" s="12" t="str">
        <x:v>ORD-2026-0052</x:v>
      </x:c>
      <x:c r="B53" s="13" t="n">
        <x:v>46134</x:v>
      </x:c>
      <x:c r="C53" s="12" t="str">
        <x:v>비전교육</x:v>
      </x:c>
      <x:c r="D53" s="12" t="str">
        <x:v>경기</x:v>
      </x:c>
      <x:c r="E53" s="12" t="str">
        <x:v>B2B</x:v>
      </x:c>
      <x:c r="F53" s="12" t="str">
        <x:v>AC-002</x:v>
      </x:c>
      <x:c r="G53" s="12" t="str">
        <x:v>Wireless Mouse</x:v>
      </x:c>
      <x:c r="H53" s="12" t="str">
        <x:v>주변기기</x:v>
      </x:c>
      <x:c r="I53" s="12" t="n">
        <x:v>2</x:v>
      </x:c>
      <x:c r="J53" s="15" t="n">
        <x:v>69000</x:v>
      </x:c>
      <x:c r="K53" s="17" t="n">
        <x:v>0.05</x:v>
      </x:c>
      <x:c r="L53" s="15" t="n">
        <x:f>I53*J53*(1-K53)</x:f>
        <x:v>131100</x:v>
      </x:c>
      <x:c r="M53" s="15" t="n">
        <x:v>35000</x:v>
      </x:c>
      <x:c r="N53" s="15" t="n">
        <x:f>L53-(I53*M53)</x:f>
        <x:v>61100</x:v>
      </x:c>
      <x:c r="O53" s="19" t="n">
        <x:f>IFERROR(N53/L53,0)</x:f>
        <x:v>0.4660564454614798</x:v>
      </x:c>
      <x:c r="P53" s="12" t="str">
        <x:v>배송완료</x:v>
      </x:c>
      <x:c r="Q53" s="12" t="str">
        <x:v>오세훈</x:v>
      </x:c>
    </x:row>
    <x:row r="54">
      <x:c r="A54" s="12" t="str">
        <x:v>ORD-2026-0053</x:v>
      </x:c>
      <x:c r="B54" s="13" t="n">
        <x:v>46023</x:v>
      </x:c>
      <x:c r="C54" s="12" t="str">
        <x:v>그린물류</x:v>
      </x:c>
      <x:c r="D54" s="12" t="str">
        <x:v>서울</x:v>
      </x:c>
      <x:c r="E54" s="12" t="str">
        <x:v>B2B</x:v>
      </x:c>
      <x:c r="F54" s="12" t="str">
        <x:v>AC-003</x:v>
      </x:c>
      <x:c r="G54" s="12" t="str">
        <x:v>USB-C Dock</x:v>
      </x:c>
      <x:c r="H54" s="12" t="str">
        <x:v>주변기기</x:v>
      </x:c>
      <x:c r="I54" s="12" t="n">
        <x:v>4</x:v>
      </x:c>
      <x:c r="J54" s="15" t="n">
        <x:v>189000</x:v>
      </x:c>
      <x:c r="K54" s="17" t="n">
        <x:v>0.03</x:v>
      </x:c>
      <x:c r="L54" s="15" t="n">
        <x:f>I54*J54*(1-K54)</x:f>
        <x:v>733320</x:v>
      </x:c>
      <x:c r="M54" s="15" t="n">
        <x:v>116000</x:v>
      </x:c>
      <x:c r="N54" s="15" t="n">
        <x:f>L54-(I54*M54)</x:f>
        <x:v>269320</x:v>
      </x:c>
      <x:c r="O54" s="19" t="n">
        <x:f>IFERROR(N54/L54,0)</x:f>
        <x:v>0.367261222931326</x:v>
      </x:c>
      <x:c r="P54" s="12" t="str">
        <x:v>처리중</x:v>
      </x:c>
      <x:c r="Q54" s="12" t="str">
        <x:v>박지훈</x:v>
      </x:c>
    </x:row>
    <x:row r="55">
      <x:c r="A55" s="12" t="str">
        <x:v>ORD-2026-0054</x:v>
      </x:c>
      <x:c r="B55" s="13" t="n">
        <x:v>46207</x:v>
      </x:c>
      <x:c r="C55" s="12" t="str">
        <x:v>알파솔루션</x:v>
      </x:c>
      <x:c r="D55" s="12" t="str">
        <x:v>강원</x:v>
      </x:c>
      <x:c r="E55" s="12" t="str">
        <x:v>마켓플레이스</x:v>
      </x:c>
      <x:c r="F55" s="12" t="str">
        <x:v>NB-002</x:v>
      </x:c>
      <x:c r="G55" s="12" t="str">
        <x:v>NovaBook Pro 16</x:v>
      </x:c>
      <x:c r="H55" s="12" t="str">
        <x:v>노트북</x:v>
      </x:c>
      <x:c r="I55" s="12" t="n">
        <x:v>5</x:v>
      </x:c>
      <x:c r="J55" s="15" t="n">
        <x:v>1680000</x:v>
      </x:c>
      <x:c r="K55" s="17" t="n">
        <x:v>0.1</x:v>
      </x:c>
      <x:c r="L55" s="15" t="n">
        <x:f>I55*J55*(1-K55)</x:f>
        <x:v>7560000</x:v>
      </x:c>
      <x:c r="M55" s="15" t="n">
        <x:v>1240000</x:v>
      </x:c>
      <x:c r="N55" s="15" t="n">
        <x:f>L55-(I55*M55)</x:f>
        <x:v>1360000</x:v>
      </x:c>
      <x:c r="O55" s="19" t="n">
        <x:f>IFERROR(N55/L55,0)</x:f>
        <x:v>0.17989417989417988</x:v>
      </x:c>
      <x:c r="P55" s="12" t="str">
        <x:v>배송완료</x:v>
      </x:c>
      <x:c r="Q55" s="12" t="str">
        <x:v>최유진</x:v>
      </x:c>
    </x:row>
    <x:row r="56">
      <x:c r="A56" s="12" t="str">
        <x:v>ORD-2026-0055</x:v>
      </x:c>
      <x:c r="B56" s="13" t="n">
        <x:v>46164</x:v>
      </x:c>
      <x:c r="C56" s="12" t="str">
        <x:v>그린물류</x:v>
      </x:c>
      <x:c r="D56" s="12" t="str">
        <x:v>강원</x:v>
      </x:c>
      <x:c r="E56" s="12" t="str">
        <x:v>마켓플레이스</x:v>
      </x:c>
      <x:c r="F56" s="12" t="str">
        <x:v>AC-001</x:v>
      </x:c>
      <x:c r="G56" s="12" t="str">
        <x:v>Mechanical Keyboard</x:v>
      </x:c>
      <x:c r="H56" s="12" t="str">
        <x:v>주변기기</x:v>
      </x:c>
      <x:c r="I56" s="12" t="n">
        <x:v>3</x:v>
      </x:c>
      <x:c r="J56" s="15" t="n">
        <x:v>129000</x:v>
      </x:c>
      <x:c r="K56" s="17" t="n">
        <x:v>0</x:v>
      </x:c>
      <x:c r="L56" s="15" t="n">
        <x:f>I56*J56*(1-K56)</x:f>
        <x:v>387000</x:v>
      </x:c>
      <x:c r="M56" s="15" t="n">
        <x:v>72000</x:v>
      </x:c>
      <x:c r="N56" s="15" t="n">
        <x:f>L56-(I56*M56)</x:f>
        <x:v>171000</x:v>
      </x:c>
      <x:c r="O56" s="19" t="n">
        <x:f>IFERROR(N56/L56,0)</x:f>
        <x:v>0.4418604651162791</x:v>
      </x:c>
      <x:c r="P56" s="12" t="str">
        <x:v>취소</x:v>
      </x:c>
      <x:c r="Q56" s="12" t="str">
        <x:v>오세훈</x:v>
      </x:c>
    </x:row>
    <x:row r="57">
      <x:c r="A57" s="12" t="str">
        <x:v>ORD-2026-0056</x:v>
      </x:c>
      <x:c r="B57" s="13" t="n">
        <x:v>46180</x:v>
      </x:c>
      <x:c r="C57" s="12" t="str">
        <x:v>스마트팩토리</x:v>
      </x:c>
      <x:c r="D57" s="12" t="str">
        <x:v>서울</x:v>
      </x:c>
      <x:c r="E57" s="12" t="str">
        <x:v>B2B</x:v>
      </x:c>
      <x:c r="F57" s="12" t="str">
        <x:v>MN-001</x:v>
      </x:c>
      <x:c r="G57" s="12" t="str">
        <x:v>Vision 27Q</x:v>
      </x:c>
      <x:c r="H57" s="12" t="str">
        <x:v>모니터</x:v>
      </x:c>
      <x:c r="I57" s="12" t="n">
        <x:v>5</x:v>
      </x:c>
      <x:c r="J57" s="15" t="n">
        <x:v>420000</x:v>
      </x:c>
      <x:c r="K57" s="17" t="n">
        <x:v>0.05</x:v>
      </x:c>
      <x:c r="L57" s="15" t="n">
        <x:f>I57*J57*(1-K57)</x:f>
        <x:v>1995000</x:v>
      </x:c>
      <x:c r="M57" s="15" t="n">
        <x:v>285000</x:v>
      </x:c>
      <x:c r="N57" s="15" t="n">
        <x:f>L57-(I57*M57)</x:f>
        <x:v>570000</x:v>
      </x:c>
      <x:c r="O57" s="19" t="n">
        <x:f>IFERROR(N57/L57,0)</x:f>
        <x:v>0.2857142857142857</x:v>
      </x:c>
      <x:c r="P57" s="12" t="str">
        <x:v>배송완료</x:v>
      </x:c>
      <x:c r="Q57" s="12" t="str">
        <x:v>이서연</x:v>
      </x:c>
    </x:row>
    <x:row r="58">
      <x:c r="A58" s="12" t="str">
        <x:v>ORD-2026-0057</x:v>
      </x:c>
      <x:c r="B58" s="13" t="n">
        <x:v>46224</x:v>
      </x:c>
      <x:c r="C58" s="12" t="str">
        <x:v>오로라랩</x:v>
      </x:c>
      <x:c r="D58" s="12" t="str">
        <x:v>영남</x:v>
      </x:c>
      <x:c r="E58" s="12" t="str">
        <x:v>오프라인</x:v>
      </x:c>
      <x:c r="F58" s="12" t="str">
        <x:v>AC-003</x:v>
      </x:c>
      <x:c r="G58" s="12" t="str">
        <x:v>USB-C Dock</x:v>
      </x:c>
      <x:c r="H58" s="12" t="str">
        <x:v>주변기기</x:v>
      </x:c>
      <x:c r="I58" s="12" t="n">
        <x:v>6</x:v>
      </x:c>
      <x:c r="J58" s="15" t="n">
        <x:v>189000</x:v>
      </x:c>
      <x:c r="K58" s="17" t="n">
        <x:v>0.05</x:v>
      </x:c>
      <x:c r="L58" s="15" t="n">
        <x:f>I58*J58*(1-K58)</x:f>
        <x:v>1077300</x:v>
      </x:c>
      <x:c r="M58" s="15" t="n">
        <x:v>116000</x:v>
      </x:c>
      <x:c r="N58" s="15" t="n">
        <x:f>L58-(I58*M58)</x:f>
        <x:v>381300</x:v>
      </x:c>
      <x:c r="O58" s="19" t="n">
        <x:f>IFERROR(N58/L58,0)</x:f>
        <x:v>0.3539404065719855</x:v>
      </x:c>
      <x:c r="P58" s="12" t="str">
        <x:v>처리중</x:v>
      </x:c>
      <x:c r="Q58" s="12" t="str">
        <x:v>최유진</x:v>
      </x:c>
    </x:row>
    <x:row r="59">
      <x:c r="A59" s="12" t="str">
        <x:v>ORD-2026-0058</x:v>
      </x:c>
      <x:c r="B59" s="13" t="n">
        <x:v>46191</x:v>
      </x:c>
      <x:c r="C59" s="12" t="str">
        <x:v>스마트팩토리</x:v>
      </x:c>
      <x:c r="D59" s="12" t="str">
        <x:v>강원</x:v>
      </x:c>
      <x:c r="E59" s="12" t="str">
        <x:v>B2B</x:v>
      </x:c>
      <x:c r="F59" s="12" t="str">
        <x:v>MN-001</x:v>
      </x:c>
      <x:c r="G59" s="12" t="str">
        <x:v>Vision 27Q</x:v>
      </x:c>
      <x:c r="H59" s="12" t="str">
        <x:v>모니터</x:v>
      </x:c>
      <x:c r="I59" s="12" t="n">
        <x:v>2</x:v>
      </x:c>
      <x:c r="J59" s="15" t="n">
        <x:v>420000</x:v>
      </x:c>
      <x:c r="K59" s="17" t="n">
        <x:v>0.03</x:v>
      </x:c>
      <x:c r="L59" s="15" t="n">
        <x:f>I59*J59*(1-K59)</x:f>
        <x:v>814800</x:v>
      </x:c>
      <x:c r="M59" s="15" t="n">
        <x:v>285000</x:v>
      </x:c>
      <x:c r="N59" s="15" t="n">
        <x:f>L59-(I59*M59)</x:f>
        <x:v>244800</x:v>
      </x:c>
      <x:c r="O59" s="19" t="n">
        <x:f>IFERROR(N59/L59,0)</x:f>
        <x:v>0.3004418262150221</x:v>
      </x:c>
      <x:c r="P59" s="12" t="str">
        <x:v>배송완료</x:v>
      </x:c>
      <x:c r="Q59" s="12" t="str">
        <x:v>이서연</x:v>
      </x:c>
    </x:row>
    <x:row r="60">
      <x:c r="A60" s="12" t="str">
        <x:v>ORD-2026-0059</x:v>
      </x:c>
      <x:c r="B60" s="13" t="n">
        <x:v>46080</x:v>
      </x:c>
      <x:c r="C60" s="12" t="str">
        <x:v>한빛테크</x:v>
      </x:c>
      <x:c r="D60" s="12" t="str">
        <x:v>서울</x:v>
      </x:c>
      <x:c r="E60" s="12" t="str">
        <x:v>오프라인</x:v>
      </x:c>
      <x:c r="F60" s="12" t="str">
        <x:v>AC-001</x:v>
      </x:c>
      <x:c r="G60" s="12" t="str">
        <x:v>Mechanical Keyboard</x:v>
      </x:c>
      <x:c r="H60" s="12" t="str">
        <x:v>주변기기</x:v>
      </x:c>
      <x:c r="I60" s="12" t="n">
        <x:v>4</x:v>
      </x:c>
      <x:c r="J60" s="15" t="n">
        <x:v>129000</x:v>
      </x:c>
      <x:c r="K60" s="17" t="n">
        <x:v>0</x:v>
      </x:c>
      <x:c r="L60" s="15" t="n">
        <x:f>I60*J60*(1-K60)</x:f>
        <x:v>516000</x:v>
      </x:c>
      <x:c r="M60" s="15" t="n">
        <x:v>72000</x:v>
      </x:c>
      <x:c r="N60" s="15" t="n">
        <x:f>L60-(I60*M60)</x:f>
        <x:v>228000</x:v>
      </x:c>
      <x:c r="O60" s="19" t="n">
        <x:f>IFERROR(N60/L60,0)</x:f>
        <x:v>0.4418604651162791</x:v>
      </x:c>
      <x:c r="P60" s="12" t="str">
        <x:v>배송중</x:v>
      </x:c>
      <x:c r="Q60" s="12" t="str">
        <x:v>정하늘</x:v>
      </x:c>
    </x:row>
    <x:row r="61">
      <x:c r="A61" s="12" t="str">
        <x:v>ORD-2026-0060</x:v>
      </x:c>
      <x:c r="B61" s="13" t="n">
        <x:v>46139</x:v>
      </x:c>
      <x:c r="C61" s="12" t="str">
        <x:v>비전교육</x:v>
      </x:c>
      <x:c r="D61" s="12" t="str">
        <x:v>경기</x:v>
      </x:c>
      <x:c r="E61" s="12" t="str">
        <x:v>마켓플레이스</x:v>
      </x:c>
      <x:c r="F61" s="12" t="str">
        <x:v>NB-002</x:v>
      </x:c>
      <x:c r="G61" s="12" t="str">
        <x:v>NovaBook Pro 16</x:v>
      </x:c>
      <x:c r="H61" s="12" t="str">
        <x:v>노트북</x:v>
      </x:c>
      <x:c r="I61" s="12" t="n">
        <x:v>7</x:v>
      </x:c>
      <x:c r="J61" s="15" t="n">
        <x:v>1680000</x:v>
      </x:c>
      <x:c r="K61" s="17" t="n">
        <x:v>0.15</x:v>
      </x:c>
      <x:c r="L61" s="15" t="n">
        <x:f>I61*J61*(1-K61)</x:f>
        <x:v>9996000</x:v>
      </x:c>
      <x:c r="M61" s="15" t="n">
        <x:v>1240000</x:v>
      </x:c>
      <x:c r="N61" s="15" t="n">
        <x:f>L61-(I61*M61)</x:f>
        <x:v>1316000</x:v>
      </x:c>
      <x:c r="O61" s="19" t="n">
        <x:f>IFERROR(N61/L61,0)</x:f>
        <x:v>0.13165266106442577</x:v>
      </x:c>
      <x:c r="P61" s="12" t="str">
        <x:v>배송중</x:v>
      </x:c>
      <x:c r="Q61" s="12" t="str">
        <x:v>최유진</x:v>
      </x:c>
    </x:row>
    <x:row r="62">
      <x:c r="A62" s="12" t="str">
        <x:v>ORD-2026-0061</x:v>
      </x:c>
      <x:c r="B62" s="13" t="n">
        <x:v>46060</x:v>
      </x:c>
      <x:c r="C62" s="12" t="str">
        <x:v>미래상사</x:v>
      </x:c>
      <x:c r="D62" s="12" t="str">
        <x:v>영남</x:v>
      </x:c>
      <x:c r="E62" s="12" t="str">
        <x:v>오프라인</x:v>
      </x:c>
      <x:c r="F62" s="12" t="str">
        <x:v>MN-002</x:v>
      </x:c>
      <x:c r="G62" s="12" t="str">
        <x:v>Vision UltraWide 34</x:v>
      </x:c>
      <x:c r="H62" s="12" t="str">
        <x:v>모니터</x:v>
      </x:c>
      <x:c r="I62" s="12" t="n">
        <x:v>1</x:v>
      </x:c>
      <x:c r="J62" s="15" t="n">
        <x:v>710000</x:v>
      </x:c>
      <x:c r="K62" s="17" t="n">
        <x:v>0.2</x:v>
      </x:c>
      <x:c r="L62" s="15" t="n">
        <x:f>I62*J62*(1-K62)</x:f>
        <x:v>568000</x:v>
      </x:c>
      <x:c r="M62" s="15" t="n">
        <x:v>505000</x:v>
      </x:c>
      <x:c r="N62" s="15" t="n">
        <x:f>L62-(I62*M62)</x:f>
        <x:v>63000</x:v>
      </x:c>
      <x:c r="O62" s="19" t="n">
        <x:f>IFERROR(N62/L62,0)</x:f>
        <x:v>0.11091549295774648</x:v>
      </x:c>
      <x:c r="P62" s="12" t="str">
        <x:v>배송완료</x:v>
      </x:c>
      <x:c r="Q62" s="12" t="str">
        <x:v>오세훈</x:v>
      </x:c>
    </x:row>
    <x:row r="63">
      <x:c r="A63" s="12" t="str">
        <x:v>ORD-2026-0062</x:v>
      </x:c>
      <x:c r="B63" s="13" t="n">
        <x:v>46141</x:v>
      </x:c>
      <x:c r="C63" s="12" t="str">
        <x:v>대한국제</x:v>
      </x:c>
      <x:c r="D63" s="12" t="str">
        <x:v>서울</x:v>
      </x:c>
      <x:c r="E63" s="12" t="str">
        <x:v>마켓플레이스</x:v>
      </x:c>
      <x:c r="F63" s="12" t="str">
        <x:v>SV-001</x:v>
      </x:c>
      <x:c r="G63" s="12" t="str">
        <x:v>Edge Server S1</x:v>
      </x:c>
      <x:c r="H63" s="12" t="str">
        <x:v>서버</x:v>
      </x:c>
      <x:c r="I63" s="12" t="n">
        <x:v>1</x:v>
      </x:c>
      <x:c r="J63" s="15" t="n">
        <x:v>4250000</x:v>
      </x:c>
      <x:c r="K63" s="17" t="n">
        <x:v>0.1</x:v>
      </x:c>
      <x:c r="L63" s="15" t="n">
        <x:f>I63*J63*(1-K63)</x:f>
        <x:v>3825000</x:v>
      </x:c>
      <x:c r="M63" s="15" t="n">
        <x:v>3380000</x:v>
      </x:c>
      <x:c r="N63" s="15" t="n">
        <x:f>L63-(I63*M63)</x:f>
        <x:v>445000</x:v>
      </x:c>
      <x:c r="O63" s="19" t="n">
        <x:f>IFERROR(N63/L63,0)</x:f>
        <x:v>0.11633986928104575</x:v>
      </x:c>
      <x:c r="P63" s="12" t="str">
        <x:v>배송완료</x:v>
      </x:c>
      <x:c r="Q63" s="12" t="str">
        <x:v>최유진</x:v>
      </x:c>
    </x:row>
    <x:row r="64">
      <x:c r="A64" s="12" t="str">
        <x:v>ORD-2026-0063</x:v>
      </x:c>
      <x:c r="B64" s="13" t="n">
        <x:v>46166</x:v>
      </x:c>
      <x:c r="C64" s="12" t="str">
        <x:v>오로라랩</x:v>
      </x:c>
      <x:c r="D64" s="12" t="str">
        <x:v>호남</x:v>
      </x:c>
      <x:c r="E64" s="12" t="str">
        <x:v>마켓플레이스</x:v>
      </x:c>
      <x:c r="F64" s="12" t="str">
        <x:v>SV-001</x:v>
      </x:c>
      <x:c r="G64" s="12" t="str">
        <x:v>Edge Server S1</x:v>
      </x:c>
      <x:c r="H64" s="12" t="str">
        <x:v>서버</x:v>
      </x:c>
      <x:c r="I64" s="12" t="n">
        <x:v>2</x:v>
      </x:c>
      <x:c r="J64" s="15" t="n">
        <x:v>4250000</x:v>
      </x:c>
      <x:c r="K64" s="17" t="n">
        <x:v>0.2</x:v>
      </x:c>
      <x:c r="L64" s="15" t="n">
        <x:f>I64*J64*(1-K64)</x:f>
        <x:v>6800000</x:v>
      </x:c>
      <x:c r="M64" s="15" t="n">
        <x:v>3380000</x:v>
      </x:c>
      <x:c r="N64" s="15" t="n">
        <x:f>L64-(I64*M64)</x:f>
        <x:v>40000</x:v>
      </x:c>
      <x:c r="O64" s="19" t="n">
        <x:f>IFERROR(N64/L64,0)</x:f>
        <x:v>0.0058823529411764705</x:v>
      </x:c>
      <x:c r="P64" s="12" t="str">
        <x:v>처리중</x:v>
      </x:c>
      <x:c r="Q64" s="12" t="str">
        <x:v>최유진</x:v>
      </x:c>
    </x:row>
    <x:row r="65">
      <x:c r="A65" s="12" t="str">
        <x:v>ORD-2026-0064</x:v>
      </x:c>
      <x:c r="B65" s="13" t="n">
        <x:v>46213</x:v>
      </x:c>
      <x:c r="C65" s="12" t="str">
        <x:v>알파솔루션</x:v>
      </x:c>
      <x:c r="D65" s="12" t="str">
        <x:v>경기</x:v>
      </x:c>
      <x:c r="E65" s="12" t="str">
        <x:v>B2B</x:v>
      </x:c>
      <x:c r="F65" s="12" t="str">
        <x:v>MN-001</x:v>
      </x:c>
      <x:c r="G65" s="12" t="str">
        <x:v>Vision 27Q</x:v>
      </x:c>
      <x:c r="H65" s="12" t="str">
        <x:v>모니터</x:v>
      </x:c>
      <x:c r="I65" s="12" t="n">
        <x:v>8</x:v>
      </x:c>
      <x:c r="J65" s="15" t="n">
        <x:v>420000</x:v>
      </x:c>
      <x:c r="K65" s="17" t="n">
        <x:v>0.05</x:v>
      </x:c>
      <x:c r="L65" s="15" t="n">
        <x:f>I65*J65*(1-K65)</x:f>
        <x:v>3192000</x:v>
      </x:c>
      <x:c r="M65" s="15" t="n">
        <x:v>285000</x:v>
      </x:c>
      <x:c r="N65" s="15" t="n">
        <x:f>L65-(I65*M65)</x:f>
        <x:v>912000</x:v>
      </x:c>
      <x:c r="O65" s="19" t="n">
        <x:f>IFERROR(N65/L65,0)</x:f>
        <x:v>0.2857142857142857</x:v>
      </x:c>
      <x:c r="P65" s="12" t="str">
        <x:v>처리중</x:v>
      </x:c>
      <x:c r="Q65" s="12" t="str">
        <x:v>최유진</x:v>
      </x:c>
    </x:row>
    <x:row r="66">
      <x:c r="A66" s="12" t="str">
        <x:v>ORD-2026-0065</x:v>
      </x:c>
      <x:c r="B66" s="13" t="n">
        <x:v>46093</x:v>
      </x:c>
      <x:c r="C66" s="12" t="str">
        <x:v>알파솔루션</x:v>
      </x:c>
      <x:c r="D66" s="12" t="str">
        <x:v>경기</x:v>
      </x:c>
      <x:c r="E66" s="12" t="str">
        <x:v>B2B</x:v>
      </x:c>
      <x:c r="F66" s="12" t="str">
        <x:v>MN-002</x:v>
      </x:c>
      <x:c r="G66" s="12" t="str">
        <x:v>Vision UltraWide 34</x:v>
      </x:c>
      <x:c r="H66" s="12" t="str">
        <x:v>모니터</x:v>
      </x:c>
      <x:c r="I66" s="12" t="n">
        <x:v>8</x:v>
      </x:c>
      <x:c r="J66" s="15" t="n">
        <x:v>710000</x:v>
      </x:c>
      <x:c r="K66" s="17" t="n">
        <x:v>0</x:v>
      </x:c>
      <x:c r="L66" s="15" t="n">
        <x:f>I66*J66*(1-K66)</x:f>
        <x:v>5680000</x:v>
      </x:c>
      <x:c r="M66" s="15" t="n">
        <x:v>505000</x:v>
      </x:c>
      <x:c r="N66" s="15" t="n">
        <x:f>L66-(I66*M66)</x:f>
        <x:v>1640000</x:v>
      </x:c>
      <x:c r="O66" s="19" t="n">
        <x:f>IFERROR(N66/L66,0)</x:f>
        <x:v>0.2887323943661972</x:v>
      </x:c>
      <x:c r="P66" s="12" t="str">
        <x:v>배송완료</x:v>
      </x:c>
      <x:c r="Q66" s="12" t="str">
        <x:v>박지훈</x:v>
      </x:c>
    </x:row>
    <x:row r="67">
      <x:c r="A67" s="12" t="str">
        <x:v>ORD-2026-0066</x:v>
      </x:c>
      <x:c r="B67" s="13" t="n">
        <x:v>46043</x:v>
      </x:c>
      <x:c r="C67" s="12" t="str">
        <x:v>대한국제</x:v>
      </x:c>
      <x:c r="D67" s="12" t="str">
        <x:v>영남</x:v>
      </x:c>
      <x:c r="E67" s="12" t="str">
        <x:v>오프라인</x:v>
      </x:c>
      <x:c r="F67" s="12" t="str">
        <x:v>SV-001</x:v>
      </x:c>
      <x:c r="G67" s="12" t="str">
        <x:v>Edge Server S1</x:v>
      </x:c>
      <x:c r="H67" s="12" t="str">
        <x:v>서버</x:v>
      </x:c>
      <x:c r="I67" s="12" t="n">
        <x:v>1</x:v>
      </x:c>
      <x:c r="J67" s="15" t="n">
        <x:v>4250000</x:v>
      </x:c>
      <x:c r="K67" s="17" t="n">
        <x:v>0</x:v>
      </x:c>
      <x:c r="L67" s="15" t="n">
        <x:f>I67*J67*(1-K67)</x:f>
        <x:v>4250000</x:v>
      </x:c>
      <x:c r="M67" s="15" t="n">
        <x:v>3380000</x:v>
      </x:c>
      <x:c r="N67" s="15" t="n">
        <x:f>L67-(I67*M67)</x:f>
        <x:v>870000</x:v>
      </x:c>
      <x:c r="O67" s="19" t="n">
        <x:f>IFERROR(N67/L67,0)</x:f>
        <x:v>0.20470588235294118</x:v>
      </x:c>
      <x:c r="P67" s="12" t="str">
        <x:v>취소</x:v>
      </x:c>
      <x:c r="Q67" s="12" t="str">
        <x:v>이서연</x:v>
      </x:c>
    </x:row>
    <x:row r="68">
      <x:c r="A68" s="12" t="str">
        <x:v>ORD-2026-0067</x:v>
      </x:c>
      <x:c r="B68" s="13" t="n">
        <x:v>46129</x:v>
      </x:c>
      <x:c r="C68" s="12" t="str">
        <x:v>스마트팩토리</x:v>
      </x:c>
      <x:c r="D68" s="12" t="str">
        <x:v>영남</x:v>
      </x:c>
      <x:c r="E68" s="12" t="str">
        <x:v>마켓플레이스</x:v>
      </x:c>
      <x:c r="F68" s="12" t="str">
        <x:v>NB-002</x:v>
      </x:c>
      <x:c r="G68" s="12" t="str">
        <x:v>NovaBook Pro 16</x:v>
      </x:c>
      <x:c r="H68" s="12" t="str">
        <x:v>노트북</x:v>
      </x:c>
      <x:c r="I68" s="12" t="n">
        <x:v>7</x:v>
      </x:c>
      <x:c r="J68" s="15" t="n">
        <x:v>1680000</x:v>
      </x:c>
      <x:c r="K68" s="17" t="n">
        <x:v>0.03</x:v>
      </x:c>
      <x:c r="L68" s="15" t="n">
        <x:f>I68*J68*(1-K68)</x:f>
        <x:v>11407200</x:v>
      </x:c>
      <x:c r="M68" s="15" t="n">
        <x:v>1240000</x:v>
      </x:c>
      <x:c r="N68" s="15" t="n">
        <x:f>L68-(I68*M68)</x:f>
        <x:v>2727200</x:v>
      </x:c>
      <x:c r="O68" s="19" t="n">
        <x:f>IFERROR(N68/L68,0)</x:f>
        <x:v>0.23907707412862053</x:v>
      </x:c>
      <x:c r="P68" s="12" t="str">
        <x:v>배송완료</x:v>
      </x:c>
      <x:c r="Q68" s="12" t="str">
        <x:v>이서연</x:v>
      </x:c>
    </x:row>
    <x:row r="69">
      <x:c r="A69" s="12" t="str">
        <x:v>ORD-2026-0068</x:v>
      </x:c>
      <x:c r="B69" s="13" t="n">
        <x:v>46122</x:v>
      </x:c>
      <x:c r="C69" s="12" t="str">
        <x:v>비전교육</x:v>
      </x:c>
      <x:c r="D69" s="12" t="str">
        <x:v>영남</x:v>
      </x:c>
      <x:c r="E69" s="12" t="str">
        <x:v>마켓플레이스</x:v>
      </x:c>
      <x:c r="F69" s="12" t="str">
        <x:v>AC-003</x:v>
      </x:c>
      <x:c r="G69" s="12" t="str">
        <x:v>USB-C Dock</x:v>
      </x:c>
      <x:c r="H69" s="12" t="str">
        <x:v>주변기기</x:v>
      </x:c>
      <x:c r="I69" s="12" t="n">
        <x:v>1</x:v>
      </x:c>
      <x:c r="J69" s="15" t="n">
        <x:v>189000</x:v>
      </x:c>
      <x:c r="K69" s="17" t="n">
        <x:v>0.2</x:v>
      </x:c>
      <x:c r="L69" s="15" t="n">
        <x:f>I69*J69*(1-K69)</x:f>
        <x:v>151200</x:v>
      </x:c>
      <x:c r="M69" s="15" t="n">
        <x:v>116000</x:v>
      </x:c>
      <x:c r="N69" s="15" t="n">
        <x:f>L69-(I69*M69)</x:f>
        <x:v>35200</x:v>
      </x:c>
      <x:c r="O69" s="19" t="n">
        <x:f>IFERROR(N69/L69,0)</x:f>
        <x:v>0.2328042328042328</x:v>
      </x:c>
      <x:c r="P69" s="12" t="str">
        <x:v>배송완료</x:v>
      </x:c>
      <x:c r="Q69" s="12" t="str">
        <x:v>박지훈</x:v>
      </x:c>
    </x:row>
    <x:row r="70">
      <x:c r="A70" s="12" t="str">
        <x:v>ORD-2026-0069</x:v>
      </x:c>
      <x:c r="B70" s="13" t="n">
        <x:v>46215</x:v>
      </x:c>
      <x:c r="C70" s="12" t="str">
        <x:v>그린물류</x:v>
      </x:c>
      <x:c r="D70" s="12" t="str">
        <x:v>호남</x:v>
      </x:c>
      <x:c r="E70" s="12" t="str">
        <x:v>오프라인</x:v>
      </x:c>
      <x:c r="F70" s="12" t="str">
        <x:v>AC-001</x:v>
      </x:c>
      <x:c r="G70" s="12" t="str">
        <x:v>Mechanical Keyboard</x:v>
      </x:c>
      <x:c r="H70" s="12" t="str">
        <x:v>주변기기</x:v>
      </x:c>
      <x:c r="I70" s="12" t="n">
        <x:v>7</x:v>
      </x:c>
      <x:c r="J70" s="15" t="n">
        <x:v>129000</x:v>
      </x:c>
      <x:c r="K70" s="17" t="n">
        <x:v>0.2</x:v>
      </x:c>
      <x:c r="L70" s="15" t="n">
        <x:f>I70*J70*(1-K70)</x:f>
        <x:v>722400</x:v>
      </x:c>
      <x:c r="M70" s="15" t="n">
        <x:v>72000</x:v>
      </x:c>
      <x:c r="N70" s="15" t="n">
        <x:f>L70-(I70*M70)</x:f>
        <x:v>218400</x:v>
      </x:c>
      <x:c r="O70" s="19" t="n">
        <x:f>IFERROR(N70/L70,0)</x:f>
        <x:v>0.3023255813953488</x:v>
      </x:c>
      <x:c r="P70" s="12" t="str">
        <x:v>배송중</x:v>
      </x:c>
      <x:c r="Q70" s="12" t="str">
        <x:v>이서연</x:v>
      </x:c>
    </x:row>
    <x:row r="71">
      <x:c r="A71" s="12" t="str">
        <x:v>ORD-2026-0070</x:v>
      </x:c>
      <x:c r="B71" s="13" t="n">
        <x:v>46134</x:v>
      </x:c>
      <x:c r="C71" s="12" t="str">
        <x:v>그린물류</x:v>
      </x:c>
      <x:c r="D71" s="12" t="str">
        <x:v>충청</x:v>
      </x:c>
      <x:c r="E71" s="12" t="str">
        <x:v>마켓플레이스</x:v>
      </x:c>
      <x:c r="F71" s="12" t="str">
        <x:v>AC-001</x:v>
      </x:c>
      <x:c r="G71" s="12" t="str">
        <x:v>Mechanical Keyboard</x:v>
      </x:c>
      <x:c r="H71" s="12" t="str">
        <x:v>주변기기</x:v>
      </x:c>
      <x:c r="I71" s="12" t="n">
        <x:v>8</x:v>
      </x:c>
      <x:c r="J71" s="15" t="n">
        <x:v>129000</x:v>
      </x:c>
      <x:c r="K71" s="17" t="n">
        <x:v>0</x:v>
      </x:c>
      <x:c r="L71" s="15" t="n">
        <x:f>I71*J71*(1-K71)</x:f>
        <x:v>1032000</x:v>
      </x:c>
      <x:c r="M71" s="15" t="n">
        <x:v>72000</x:v>
      </x:c>
      <x:c r="N71" s="15" t="n">
        <x:f>L71-(I71*M71)</x:f>
        <x:v>456000</x:v>
      </x:c>
      <x:c r="O71" s="19" t="n">
        <x:f>IFERROR(N71/L71,0)</x:f>
        <x:v>0.4418604651162791</x:v>
      </x:c>
      <x:c r="P71" s="12" t="str">
        <x:v>취소</x:v>
      </x:c>
      <x:c r="Q71" s="12" t="str">
        <x:v>이서연</x:v>
      </x:c>
    </x:row>
    <x:row r="72">
      <x:c r="A72" s="12" t="str">
        <x:v>ORD-2026-0071</x:v>
      </x:c>
      <x:c r="B72" s="13" t="n">
        <x:v>46055</x:v>
      </x:c>
      <x:c r="C72" s="12" t="str">
        <x:v>비전교육</x:v>
      </x:c>
      <x:c r="D72" s="12" t="str">
        <x:v>호남</x:v>
      </x:c>
      <x:c r="E72" s="12" t="str">
        <x:v>온라인</x:v>
      </x:c>
      <x:c r="F72" s="12" t="str">
        <x:v>SW-001</x:v>
      </x:c>
      <x:c r="G72" s="12" t="str">
        <x:v>Office Suite Annual</x:v>
      </x:c>
      <x:c r="H72" s="12" t="str">
        <x:v>소프트웨어</x:v>
      </x:c>
      <x:c r="I72" s="12" t="n">
        <x:v>1</x:v>
      </x:c>
      <x:c r="J72" s="15" t="n">
        <x:v>148000</x:v>
      </x:c>
      <x:c r="K72" s="17" t="n">
        <x:v>0.05</x:v>
      </x:c>
      <x:c r="L72" s="15" t="n">
        <x:f>I72*J72*(1-K72)</x:f>
        <x:v>140600</x:v>
      </x:c>
      <x:c r="M72" s="15" t="n">
        <x:v>42000</x:v>
      </x:c>
      <x:c r="N72" s="15" t="n">
        <x:f>L72-(I72*M72)</x:f>
        <x:v>98600</x:v>
      </x:c>
      <x:c r="O72" s="19" t="n">
        <x:f>IFERROR(N72/L72,0)</x:f>
        <x:v>0.701280227596017</x:v>
      </x:c>
      <x:c r="P72" s="12" t="str">
        <x:v>배송완료</x:v>
      </x:c>
      <x:c r="Q72" s="12" t="str">
        <x:v>오세훈</x:v>
      </x:c>
    </x:row>
    <x:row r="73">
      <x:c r="A73" s="12" t="str">
        <x:v>ORD-2026-0072</x:v>
      </x:c>
      <x:c r="B73" s="13" t="n">
        <x:v>46057</x:v>
      </x:c>
      <x:c r="C73" s="12" t="str">
        <x:v>한빛테크</x:v>
      </x:c>
      <x:c r="D73" s="12" t="str">
        <x:v>충청</x:v>
      </x:c>
      <x:c r="E73" s="12" t="str">
        <x:v>마켓플레이스</x:v>
      </x:c>
      <x:c r="F73" s="12" t="str">
        <x:v>AC-003</x:v>
      </x:c>
      <x:c r="G73" s="12" t="str">
        <x:v>USB-C Dock</x:v>
      </x:c>
      <x:c r="H73" s="12" t="str">
        <x:v>주변기기</x:v>
      </x:c>
      <x:c r="I73" s="12" t="n">
        <x:v>8</x:v>
      </x:c>
      <x:c r="J73" s="15" t="n">
        <x:v>189000</x:v>
      </x:c>
      <x:c r="K73" s="17" t="n">
        <x:v>0</x:v>
      </x:c>
      <x:c r="L73" s="15" t="n">
        <x:f>I73*J73*(1-K73)</x:f>
        <x:v>1512000</x:v>
      </x:c>
      <x:c r="M73" s="15" t="n">
        <x:v>116000</x:v>
      </x:c>
      <x:c r="N73" s="15" t="n">
        <x:f>L73-(I73*M73)</x:f>
        <x:v>584000</x:v>
      </x:c>
      <x:c r="O73" s="19" t="n">
        <x:f>IFERROR(N73/L73,0)</x:f>
        <x:v>0.3862433862433862</x:v>
      </x:c>
      <x:c r="P73" s="12" t="str">
        <x:v>배송완료</x:v>
      </x:c>
      <x:c r="Q73" s="12" t="str">
        <x:v>이서연</x:v>
      </x:c>
    </x:row>
    <x:row r="74">
      <x:c r="A74" s="12" t="str">
        <x:v>ORD-2026-0073</x:v>
      </x:c>
      <x:c r="B74" s="13" t="n">
        <x:v>46106</x:v>
      </x:c>
      <x:c r="C74" s="12" t="str">
        <x:v>그린물류</x:v>
      </x:c>
      <x:c r="D74" s="12" t="str">
        <x:v>충청</x:v>
      </x:c>
      <x:c r="E74" s="12" t="str">
        <x:v>마켓플레이스</x:v>
      </x:c>
      <x:c r="F74" s="12" t="str">
        <x:v>SW-001</x:v>
      </x:c>
      <x:c r="G74" s="12" t="str">
        <x:v>Office Suite Annual</x:v>
      </x:c>
      <x:c r="H74" s="12" t="str">
        <x:v>소프트웨어</x:v>
      </x:c>
      <x:c r="I74" s="12" t="n">
        <x:v>6</x:v>
      </x:c>
      <x:c r="J74" s="15" t="n">
        <x:v>148000</x:v>
      </x:c>
      <x:c r="K74" s="17" t="n">
        <x:v>0.2</x:v>
      </x:c>
      <x:c r="L74" s="15" t="n">
        <x:f>I74*J74*(1-K74)</x:f>
        <x:v>710400</x:v>
      </x:c>
      <x:c r="M74" s="15" t="n">
        <x:v>42000</x:v>
      </x:c>
      <x:c r="N74" s="15" t="n">
        <x:f>L74-(I74*M74)</x:f>
        <x:v>458400</x:v>
      </x:c>
      <x:c r="O74" s="19" t="n">
        <x:f>IFERROR(N74/L74,0)</x:f>
        <x:v>0.6452702702702703</x:v>
      </x:c>
      <x:c r="P74" s="12" t="str">
        <x:v>배송완료</x:v>
      </x:c>
      <x:c r="Q74" s="12" t="str">
        <x:v>김민준</x:v>
      </x:c>
    </x:row>
    <x:row r="75">
      <x:c r="A75" s="12" t="str">
        <x:v>ORD-2026-0074</x:v>
      </x:c>
      <x:c r="B75" s="13" t="n">
        <x:v>46027</x:v>
      </x:c>
      <x:c r="C75" s="12" t="str">
        <x:v>대한국제</x:v>
      </x:c>
      <x:c r="D75" s="12" t="str">
        <x:v>강원</x:v>
      </x:c>
      <x:c r="E75" s="12" t="str">
        <x:v>온라인</x:v>
      </x:c>
      <x:c r="F75" s="12" t="str">
        <x:v>SW-001</x:v>
      </x:c>
      <x:c r="G75" s="12" t="str">
        <x:v>Office Suite Annual</x:v>
      </x:c>
      <x:c r="H75" s="12" t="str">
        <x:v>소프트웨어</x:v>
      </x:c>
      <x:c r="I75" s="12" t="n">
        <x:v>1</x:v>
      </x:c>
      <x:c r="J75" s="15" t="n">
        <x:v>148000</x:v>
      </x:c>
      <x:c r="K75" s="17" t="n">
        <x:v>0.03</x:v>
      </x:c>
      <x:c r="L75" s="15" t="n">
        <x:f>I75*J75*(1-K75)</x:f>
        <x:v>143560</x:v>
      </x:c>
      <x:c r="M75" s="15" t="n">
        <x:v>42000</x:v>
      </x:c>
      <x:c r="N75" s="15" t="n">
        <x:f>L75-(I75*M75)</x:f>
        <x:v>101560</x:v>
      </x:c>
      <x:c r="O75" s="19" t="n">
        <x:f>IFERROR(N75/L75,0)</x:f>
        <x:v>0.7074393981610476</x:v>
      </x:c>
      <x:c r="P75" s="12" t="str">
        <x:v>취소</x:v>
      </x:c>
      <x:c r="Q75" s="12" t="str">
        <x:v>김민준</x:v>
      </x:c>
    </x:row>
    <x:row r="76">
      <x:c r="A76" s="12" t="str">
        <x:v>ORD-2026-0075</x:v>
      </x:c>
      <x:c r="B76" s="13" t="n">
        <x:v>46086</x:v>
      </x:c>
      <x:c r="C76" s="12" t="str">
        <x:v>한빛테크</x:v>
      </x:c>
      <x:c r="D76" s="12" t="str">
        <x:v>호남</x:v>
      </x:c>
      <x:c r="E76" s="12" t="str">
        <x:v>오프라인</x:v>
      </x:c>
      <x:c r="F76" s="12" t="str">
        <x:v>NB-001</x:v>
      </x:c>
      <x:c r="G76" s="12" t="str">
        <x:v>NovaBook Air 14</x:v>
      </x:c>
      <x:c r="H76" s="12" t="str">
        <x:v>노트북</x:v>
      </x:c>
      <x:c r="I76" s="12" t="n">
        <x:v>4</x:v>
      </x:c>
      <x:c r="J76" s="15" t="n">
        <x:v>980000</x:v>
      </x:c>
      <x:c r="K76" s="17" t="n">
        <x:v>0.2</x:v>
      </x:c>
      <x:c r="L76" s="15" t="n">
        <x:f>I76*J76*(1-K76)</x:f>
        <x:v>3136000</x:v>
      </x:c>
      <x:c r="M76" s="15" t="n">
        <x:v>720000</x:v>
      </x:c>
      <x:c r="N76" s="15" t="n">
        <x:f>L76-(I76*M76)</x:f>
        <x:v>256000</x:v>
      </x:c>
      <x:c r="O76" s="19" t="n">
        <x:f>IFERROR(N76/L76,0)</x:f>
        <x:v>0.08163265306122448</x:v>
      </x:c>
      <x:c r="P76" s="12" t="str">
        <x:v>배송완료</x:v>
      </x:c>
      <x:c r="Q76" s="12" t="str">
        <x:v>이서연</x:v>
      </x:c>
    </x:row>
    <x:row r="77">
      <x:c r="A77" s="12" t="str">
        <x:v>ORD-2026-0076</x:v>
      </x:c>
      <x:c r="B77" s="13" t="n">
        <x:v>46194</x:v>
      </x:c>
      <x:c r="C77" s="12" t="str">
        <x:v>대한국제</x:v>
      </x:c>
      <x:c r="D77" s="12" t="str">
        <x:v>영남</x:v>
      </x:c>
      <x:c r="E77" s="12" t="str">
        <x:v>B2B</x:v>
      </x:c>
      <x:c r="F77" s="12" t="str">
        <x:v>SW-001</x:v>
      </x:c>
      <x:c r="G77" s="12" t="str">
        <x:v>Office Suite Annual</x:v>
      </x:c>
      <x:c r="H77" s="12" t="str">
        <x:v>소프트웨어</x:v>
      </x:c>
      <x:c r="I77" s="12" t="n">
        <x:v>2</x:v>
      </x:c>
      <x:c r="J77" s="15" t="n">
        <x:v>148000</x:v>
      </x:c>
      <x:c r="K77" s="17" t="n">
        <x:v>0.1</x:v>
      </x:c>
      <x:c r="L77" s="15" t="n">
        <x:f>I77*J77*(1-K77)</x:f>
        <x:v>266400</x:v>
      </x:c>
      <x:c r="M77" s="15" t="n">
        <x:v>42000</x:v>
      </x:c>
      <x:c r="N77" s="15" t="n">
        <x:f>L77-(I77*M77)</x:f>
        <x:v>182400</x:v>
      </x:c>
      <x:c r="O77" s="19" t="n">
        <x:f>IFERROR(N77/L77,0)</x:f>
        <x:v>0.6846846846846847</x:v>
      </x:c>
      <x:c r="P77" s="12" t="str">
        <x:v>배송완료</x:v>
      </x:c>
      <x:c r="Q77" s="12" t="str">
        <x:v>이서연</x:v>
      </x:c>
    </x:row>
    <x:row r="78">
      <x:c r="A78" s="12" t="str">
        <x:v>ORD-2026-0077</x:v>
      </x:c>
      <x:c r="B78" s="13" t="n">
        <x:v>46178</x:v>
      </x:c>
      <x:c r="C78" s="12" t="str">
        <x:v>세종연구소</x:v>
      </x:c>
      <x:c r="D78" s="12" t="str">
        <x:v>충청</x:v>
      </x:c>
      <x:c r="E78" s="12" t="str">
        <x:v>온라인</x:v>
      </x:c>
      <x:c r="F78" s="12" t="str">
        <x:v>SV-002</x:v>
      </x:c>
      <x:c r="G78" s="12" t="str">
        <x:v>GPU Server G2</x:v>
      </x:c>
      <x:c r="H78" s="12" t="str">
        <x:v>서버</x:v>
      </x:c>
      <x:c r="I78" s="12" t="n">
        <x:v>1</x:v>
      </x:c>
      <x:c r="J78" s="15" t="n">
        <x:v>11800000</x:v>
      </x:c>
      <x:c r="K78" s="17" t="n">
        <x:v>0.2</x:v>
      </x:c>
      <x:c r="L78" s="15" t="n">
        <x:f>I78*J78*(1-K78)</x:f>
        <x:v>9440000</x:v>
      </x:c>
      <x:c r="M78" s="15" t="n">
        <x:v>9740000</x:v>
      </x:c>
      <x:c r="N78" s="15" t="n">
        <x:f>L78-(I78*M78)</x:f>
        <x:v>-300000</x:v>
      </x:c>
      <x:c r="O78" s="19" t="n">
        <x:f>IFERROR(N78/L78,0)</x:f>
        <x:v>-0.03177966101694915</x:v>
      </x:c>
      <x:c r="P78" s="12" t="str">
        <x:v>처리중</x:v>
      </x:c>
      <x:c r="Q78" s="12" t="str">
        <x:v>김민준</x:v>
      </x:c>
    </x:row>
    <x:row r="79">
      <x:c r="A79" s="12" t="str">
        <x:v>ORD-2026-0078</x:v>
      </x:c>
      <x:c r="B79" s="13" t="n">
        <x:v>46170</x:v>
      </x:c>
      <x:c r="C79" s="12" t="str">
        <x:v>대한국제</x:v>
      </x:c>
      <x:c r="D79" s="12" t="str">
        <x:v>서울</x:v>
      </x:c>
      <x:c r="E79" s="12" t="str">
        <x:v>오프라인</x:v>
      </x:c>
      <x:c r="F79" s="12" t="str">
        <x:v>AC-001</x:v>
      </x:c>
      <x:c r="G79" s="12" t="str">
        <x:v>Mechanical Keyboard</x:v>
      </x:c>
      <x:c r="H79" s="12" t="str">
        <x:v>주변기기</x:v>
      </x:c>
      <x:c r="I79" s="12" t="n">
        <x:v>7</x:v>
      </x:c>
      <x:c r="J79" s="15" t="n">
        <x:v>129000</x:v>
      </x:c>
      <x:c r="K79" s="17" t="n">
        <x:v>0.05</x:v>
      </x:c>
      <x:c r="L79" s="15" t="n">
        <x:f>I79*J79*(1-K79)</x:f>
        <x:v>857850</x:v>
      </x:c>
      <x:c r="M79" s="15" t="n">
        <x:v>72000</x:v>
      </x:c>
      <x:c r="N79" s="15" t="n">
        <x:f>L79-(I79*M79)</x:f>
        <x:v>353850</x:v>
      </x:c>
      <x:c r="O79" s="19" t="n">
        <x:f>IFERROR(N79/L79,0)</x:f>
        <x:v>0.412484700122399</x:v>
      </x:c>
      <x:c r="P79" s="12" t="str">
        <x:v>배송완료</x:v>
      </x:c>
      <x:c r="Q79" s="12" t="str">
        <x:v>오세훈</x:v>
      </x:c>
    </x:row>
    <x:row r="80">
      <x:c r="A80" s="12" t="str">
        <x:v>ORD-2026-0079</x:v>
      </x:c>
      <x:c r="B80" s="13" t="n">
        <x:v>46198</x:v>
      </x:c>
      <x:c r="C80" s="12" t="str">
        <x:v>비전교육</x:v>
      </x:c>
      <x:c r="D80" s="12" t="str">
        <x:v>서울</x:v>
      </x:c>
      <x:c r="E80" s="12" t="str">
        <x:v>B2B</x:v>
      </x:c>
      <x:c r="F80" s="12" t="str">
        <x:v>AC-001</x:v>
      </x:c>
      <x:c r="G80" s="12" t="str">
        <x:v>Mechanical Keyboard</x:v>
      </x:c>
      <x:c r="H80" s="12" t="str">
        <x:v>주변기기</x:v>
      </x:c>
      <x:c r="I80" s="12" t="n">
        <x:v>2</x:v>
      </x:c>
      <x:c r="J80" s="15" t="n">
        <x:v>129000</x:v>
      </x:c>
      <x:c r="K80" s="17" t="n">
        <x:v>0.2</x:v>
      </x:c>
      <x:c r="L80" s="15" t="n">
        <x:f>I80*J80*(1-K80)</x:f>
        <x:v>206400</x:v>
      </x:c>
      <x:c r="M80" s="15" t="n">
        <x:v>72000</x:v>
      </x:c>
      <x:c r="N80" s="15" t="n">
        <x:f>L80-(I80*M80)</x:f>
        <x:v>62400</x:v>
      </x:c>
      <x:c r="O80" s="19" t="n">
        <x:f>IFERROR(N80/L80,0)</x:f>
        <x:v>0.3023255813953488</x:v>
      </x:c>
      <x:c r="P80" s="12" t="str">
        <x:v>처리중</x:v>
      </x:c>
      <x:c r="Q80" s="12" t="str">
        <x:v>최유진</x:v>
      </x:c>
    </x:row>
    <x:row r="81">
      <x:c r="A81" s="12" t="str">
        <x:v>ORD-2026-0080</x:v>
      </x:c>
      <x:c r="B81" s="13" t="n">
        <x:v>46040</x:v>
      </x:c>
      <x:c r="C81" s="12" t="str">
        <x:v>그린물류</x:v>
      </x:c>
      <x:c r="D81" s="12" t="str">
        <x:v>영남</x:v>
      </x:c>
      <x:c r="E81" s="12" t="str">
        <x:v>온라인</x:v>
      </x:c>
      <x:c r="F81" s="12" t="str">
        <x:v>AC-002</x:v>
      </x:c>
      <x:c r="G81" s="12" t="str">
        <x:v>Wireless Mouse</x:v>
      </x:c>
      <x:c r="H81" s="12" t="str">
        <x:v>주변기기</x:v>
      </x:c>
      <x:c r="I81" s="12" t="n">
        <x:v>6</x:v>
      </x:c>
      <x:c r="J81" s="15" t="n">
        <x:v>69000</x:v>
      </x:c>
      <x:c r="K81" s="17" t="n">
        <x:v>0</x:v>
      </x:c>
      <x:c r="L81" s="15" t="n">
        <x:f>I81*J81*(1-K81)</x:f>
        <x:v>414000</x:v>
      </x:c>
      <x:c r="M81" s="15" t="n">
        <x:v>35000</x:v>
      </x:c>
      <x:c r="N81" s="15" t="n">
        <x:f>L81-(I81*M81)</x:f>
        <x:v>204000</x:v>
      </x:c>
      <x:c r="O81" s="19" t="n">
        <x:f>IFERROR(N81/L81,0)</x:f>
        <x:v>0.4927536231884058</x:v>
      </x:c>
      <x:c r="P81" s="12" t="str">
        <x:v>배송중</x:v>
      </x:c>
      <x:c r="Q81" s="12" t="str">
        <x:v>박지훈</x:v>
      </x:c>
    </x:row>
    <x:row r="82">
      <x:c r="A82" s="12" t="str">
        <x:v>ORD-2026-0081</x:v>
      </x:c>
      <x:c r="B82" s="13" t="n">
        <x:v>46204</x:v>
      </x:c>
      <x:c r="C82" s="12" t="str">
        <x:v>세종연구소</x:v>
      </x:c>
      <x:c r="D82" s="12" t="str">
        <x:v>강원</x:v>
      </x:c>
      <x:c r="E82" s="12" t="str">
        <x:v>B2B</x:v>
      </x:c>
      <x:c r="F82" s="12" t="str">
        <x:v>SW-001</x:v>
      </x:c>
      <x:c r="G82" s="12" t="str">
        <x:v>Office Suite Annual</x:v>
      </x:c>
      <x:c r="H82" s="12" t="str">
        <x:v>소프트웨어</x:v>
      </x:c>
      <x:c r="I82" s="12" t="n">
        <x:v>3</x:v>
      </x:c>
      <x:c r="J82" s="15" t="n">
        <x:v>148000</x:v>
      </x:c>
      <x:c r="K82" s="17" t="n">
        <x:v>0.05</x:v>
      </x:c>
      <x:c r="L82" s="15" t="n">
        <x:f>I82*J82*(1-K82)</x:f>
        <x:v>421800</x:v>
      </x:c>
      <x:c r="M82" s="15" t="n">
        <x:v>42000</x:v>
      </x:c>
      <x:c r="N82" s="15" t="n">
        <x:f>L82-(I82*M82)</x:f>
        <x:v>295800</x:v>
      </x:c>
      <x:c r="O82" s="19" t="n">
        <x:f>IFERROR(N82/L82,0)</x:f>
        <x:v>0.701280227596017</x:v>
      </x:c>
      <x:c r="P82" s="12" t="str">
        <x:v>처리중</x:v>
      </x:c>
      <x:c r="Q82" s="12" t="str">
        <x:v>정하늘</x:v>
      </x:c>
    </x:row>
    <x:row r="83">
      <x:c r="A83" s="12" t="str">
        <x:v>ORD-2026-0082</x:v>
      </x:c>
      <x:c r="B83" s="13" t="n">
        <x:v>46142</x:v>
      </x:c>
      <x:c r="C83" s="12" t="str">
        <x:v>비전교육</x:v>
      </x:c>
      <x:c r="D83" s="12" t="str">
        <x:v>충청</x:v>
      </x:c>
      <x:c r="E83" s="12" t="str">
        <x:v>B2B</x:v>
      </x:c>
      <x:c r="F83" s="12" t="str">
        <x:v>SW-001</x:v>
      </x:c>
      <x:c r="G83" s="12" t="str">
        <x:v>Office Suite Annual</x:v>
      </x:c>
      <x:c r="H83" s="12" t="str">
        <x:v>소프트웨어</x:v>
      </x:c>
      <x:c r="I83" s="12" t="n">
        <x:v>7</x:v>
      </x:c>
      <x:c r="J83" s="15" t="n">
        <x:v>148000</x:v>
      </x:c>
      <x:c r="K83" s="17" t="n">
        <x:v>0.2</x:v>
      </x:c>
      <x:c r="L83" s="15" t="n">
        <x:f>I83*J83*(1-K83)</x:f>
        <x:v>828800</x:v>
      </x:c>
      <x:c r="M83" s="15" t="n">
        <x:v>42000</x:v>
      </x:c>
      <x:c r="N83" s="15" t="n">
        <x:f>L83-(I83*M83)</x:f>
        <x:v>534800</x:v>
      </x:c>
      <x:c r="O83" s="19" t="n">
        <x:f>IFERROR(N83/L83,0)</x:f>
        <x:v>0.6452702702702703</x:v>
      </x:c>
      <x:c r="P83" s="12" t="str">
        <x:v>배송완료</x:v>
      </x:c>
      <x:c r="Q83" s="12" t="str">
        <x:v>김민준</x:v>
      </x:c>
    </x:row>
    <x:row r="84">
      <x:c r="A84" s="12" t="str">
        <x:v>ORD-2026-0083</x:v>
      </x:c>
      <x:c r="B84" s="13" t="n">
        <x:v>46138</x:v>
      </x:c>
      <x:c r="C84" s="12" t="str">
        <x:v>오로라랩</x:v>
      </x:c>
      <x:c r="D84" s="12" t="str">
        <x:v>호남</x:v>
      </x:c>
      <x:c r="E84" s="12" t="str">
        <x:v>마켓플레이스</x:v>
      </x:c>
      <x:c r="F84" s="12" t="str">
        <x:v>AC-001</x:v>
      </x:c>
      <x:c r="G84" s="12" t="str">
        <x:v>Mechanical Keyboard</x:v>
      </x:c>
      <x:c r="H84" s="12" t="str">
        <x:v>주변기기</x:v>
      </x:c>
      <x:c r="I84" s="12" t="n">
        <x:v>4</x:v>
      </x:c>
      <x:c r="J84" s="15" t="n">
        <x:v>129000</x:v>
      </x:c>
      <x:c r="K84" s="17" t="n">
        <x:v>0.2</x:v>
      </x:c>
      <x:c r="L84" s="15" t="n">
        <x:f>I84*J84*(1-K84)</x:f>
        <x:v>412800</x:v>
      </x:c>
      <x:c r="M84" s="15" t="n">
        <x:v>72000</x:v>
      </x:c>
      <x:c r="N84" s="15" t="n">
        <x:f>L84-(I84*M84)</x:f>
        <x:v>124800</x:v>
      </x:c>
      <x:c r="O84" s="19" t="n">
        <x:f>IFERROR(N84/L84,0)</x:f>
        <x:v>0.3023255813953488</x:v>
      </x:c>
      <x:c r="P84" s="12" t="str">
        <x:v>배송완료</x:v>
      </x:c>
      <x:c r="Q84" s="12" t="str">
        <x:v>김민준</x:v>
      </x:c>
    </x:row>
    <x:row r="85">
      <x:c r="A85" s="12" t="str">
        <x:v>ORD-2026-0084</x:v>
      </x:c>
      <x:c r="B85" s="13" t="n">
        <x:v>46106</x:v>
      </x:c>
      <x:c r="C85" s="12" t="str">
        <x:v>대한국제</x:v>
      </x:c>
      <x:c r="D85" s="12" t="str">
        <x:v>충청</x:v>
      </x:c>
      <x:c r="E85" s="12" t="str">
        <x:v>B2B</x:v>
      </x:c>
      <x:c r="F85" s="12" t="str">
        <x:v>SW-001</x:v>
      </x:c>
      <x:c r="G85" s="12" t="str">
        <x:v>Office Suite Annual</x:v>
      </x:c>
      <x:c r="H85" s="12" t="str">
        <x:v>소프트웨어</x:v>
      </x:c>
      <x:c r="I85" s="12" t="n">
        <x:v>3</x:v>
      </x:c>
      <x:c r="J85" s="15" t="n">
        <x:v>148000</x:v>
      </x:c>
      <x:c r="K85" s="17" t="n">
        <x:v>0.05</x:v>
      </x:c>
      <x:c r="L85" s="15" t="n">
        <x:f>I85*J85*(1-K85)</x:f>
        <x:v>421800</x:v>
      </x:c>
      <x:c r="M85" s="15" t="n">
        <x:v>42000</x:v>
      </x:c>
      <x:c r="N85" s="15" t="n">
        <x:f>L85-(I85*M85)</x:f>
        <x:v>295800</x:v>
      </x:c>
      <x:c r="O85" s="19" t="n">
        <x:f>IFERROR(N85/L85,0)</x:f>
        <x:v>0.701280227596017</x:v>
      </x:c>
      <x:c r="P85" s="12" t="str">
        <x:v>배송완료</x:v>
      </x:c>
      <x:c r="Q85" s="12" t="str">
        <x:v>박지훈</x:v>
      </x:c>
    </x:row>
    <x:row r="86">
      <x:c r="A86" s="12" t="str">
        <x:v>ORD-2026-0085</x:v>
      </x:c>
      <x:c r="B86" s="13" t="n">
        <x:v>46202</x:v>
      </x:c>
      <x:c r="C86" s="12" t="str">
        <x:v>한빛테크</x:v>
      </x:c>
      <x:c r="D86" s="12" t="str">
        <x:v>호남</x:v>
      </x:c>
      <x:c r="E86" s="12" t="str">
        <x:v>오프라인</x:v>
      </x:c>
      <x:c r="F86" s="12" t="str">
        <x:v>SV-002</x:v>
      </x:c>
      <x:c r="G86" s="12" t="str">
        <x:v>GPU Server G2</x:v>
      </x:c>
      <x:c r="H86" s="12" t="str">
        <x:v>서버</x:v>
      </x:c>
      <x:c r="I86" s="12" t="n">
        <x:v>2</x:v>
      </x:c>
      <x:c r="J86" s="15" t="n">
        <x:v>11800000</x:v>
      </x:c>
      <x:c r="K86" s="17" t="n">
        <x:v>0.1</x:v>
      </x:c>
      <x:c r="L86" s="15" t="n">
        <x:f>I86*J86*(1-K86)</x:f>
        <x:v>21240000</x:v>
      </x:c>
      <x:c r="M86" s="15" t="n">
        <x:v>9740000</x:v>
      </x:c>
      <x:c r="N86" s="15" t="n">
        <x:f>L86-(I86*M86)</x:f>
        <x:v>1760000</x:v>
      </x:c>
      <x:c r="O86" s="19" t="n">
        <x:f>IFERROR(N86/L86,0)</x:f>
        <x:v>0.08286252354048965</x:v>
      </x:c>
      <x:c r="P86" s="12" t="str">
        <x:v>배송완료</x:v>
      </x:c>
      <x:c r="Q86" s="12" t="str">
        <x:v>이서연</x:v>
      </x:c>
    </x:row>
    <x:row r="87">
      <x:c r="A87" s="12" t="str">
        <x:v>ORD-2026-0086</x:v>
      </x:c>
      <x:c r="B87" s="13" t="n">
        <x:v>46148</x:v>
      </x:c>
      <x:c r="C87" s="12" t="str">
        <x:v>오로라랩</x:v>
      </x:c>
      <x:c r="D87" s="12" t="str">
        <x:v>강원</x:v>
      </x:c>
      <x:c r="E87" s="12" t="str">
        <x:v>마켓플레이스</x:v>
      </x:c>
      <x:c r="F87" s="12" t="str">
        <x:v>AC-003</x:v>
      </x:c>
      <x:c r="G87" s="12" t="str">
        <x:v>USB-C Dock</x:v>
      </x:c>
      <x:c r="H87" s="12" t="str">
        <x:v>주변기기</x:v>
      </x:c>
      <x:c r="I87" s="12" t="n">
        <x:v>4</x:v>
      </x:c>
      <x:c r="J87" s="15" t="n">
        <x:v>189000</x:v>
      </x:c>
      <x:c r="K87" s="17" t="n">
        <x:v>0.15</x:v>
      </x:c>
      <x:c r="L87" s="15" t="n">
        <x:f>I87*J87*(1-K87)</x:f>
        <x:v>642600</x:v>
      </x:c>
      <x:c r="M87" s="15" t="n">
        <x:v>116000</x:v>
      </x:c>
      <x:c r="N87" s="15" t="n">
        <x:f>L87-(I87*M87)</x:f>
        <x:v>178600</x:v>
      </x:c>
      <x:c r="O87" s="19" t="n">
        <x:f>IFERROR(N87/L87,0)</x:f>
        <x:v>0.2779333955804544</x:v>
      </x:c>
      <x:c r="P87" s="12" t="str">
        <x:v>배송중</x:v>
      </x:c>
      <x:c r="Q87" s="12" t="str">
        <x:v>김민준</x:v>
      </x:c>
    </x:row>
    <x:row r="88">
      <x:c r="A88" s="12" t="str">
        <x:v>ORD-2026-0087</x:v>
      </x:c>
      <x:c r="B88" s="13" t="n">
        <x:v>46098</x:v>
      </x:c>
      <x:c r="C88" s="12" t="str">
        <x:v>대한국제</x:v>
      </x:c>
      <x:c r="D88" s="12" t="str">
        <x:v>충청</x:v>
      </x:c>
      <x:c r="E88" s="12" t="str">
        <x:v>B2B</x:v>
      </x:c>
      <x:c r="F88" s="12" t="str">
        <x:v>NB-002</x:v>
      </x:c>
      <x:c r="G88" s="12" t="str">
        <x:v>NovaBook Pro 16</x:v>
      </x:c>
      <x:c r="H88" s="12" t="str">
        <x:v>노트북</x:v>
      </x:c>
      <x:c r="I88" s="12" t="n">
        <x:v>4</x:v>
      </x:c>
      <x:c r="J88" s="15" t="n">
        <x:v>1680000</x:v>
      </x:c>
      <x:c r="K88" s="17" t="n">
        <x:v>0.05</x:v>
      </x:c>
      <x:c r="L88" s="15" t="n">
        <x:f>I88*J88*(1-K88)</x:f>
        <x:v>6384000</x:v>
      </x:c>
      <x:c r="M88" s="15" t="n">
        <x:v>1240000</x:v>
      </x:c>
      <x:c r="N88" s="15" t="n">
        <x:f>L88-(I88*M88)</x:f>
        <x:v>1424000</x:v>
      </x:c>
      <x:c r="O88" s="19" t="n">
        <x:f>IFERROR(N88/L88,0)</x:f>
        <x:v>0.22305764411027568</x:v>
      </x:c>
      <x:c r="P88" s="12" t="str">
        <x:v>배송중</x:v>
      </x:c>
      <x:c r="Q88" s="12" t="str">
        <x:v>정하늘</x:v>
      </x:c>
    </x:row>
    <x:row r="89">
      <x:c r="A89" s="12" t="str">
        <x:v>ORD-2026-0088</x:v>
      </x:c>
      <x:c r="B89" s="13" t="n">
        <x:v>46111</x:v>
      </x:c>
      <x:c r="C89" s="12" t="str">
        <x:v>스마트팩토리</x:v>
      </x:c>
      <x:c r="D89" s="12" t="str">
        <x:v>충청</x:v>
      </x:c>
      <x:c r="E89" s="12" t="str">
        <x:v>B2B</x:v>
      </x:c>
      <x:c r="F89" s="12" t="str">
        <x:v>SV-001</x:v>
      </x:c>
      <x:c r="G89" s="12" t="str">
        <x:v>Edge Server S1</x:v>
      </x:c>
      <x:c r="H89" s="12" t="str">
        <x:v>서버</x:v>
      </x:c>
      <x:c r="I89" s="12" t="n">
        <x:v>2</x:v>
      </x:c>
      <x:c r="J89" s="15" t="n">
        <x:v>4250000</x:v>
      </x:c>
      <x:c r="K89" s="17" t="n">
        <x:v>0.15</x:v>
      </x:c>
      <x:c r="L89" s="15" t="n">
        <x:f>I89*J89*(1-K89)</x:f>
        <x:v>7225000</x:v>
      </x:c>
      <x:c r="M89" s="15" t="n">
        <x:v>3380000</x:v>
      </x:c>
      <x:c r="N89" s="15" t="n">
        <x:f>L89-(I89*M89)</x:f>
        <x:v>465000</x:v>
      </x:c>
      <x:c r="O89" s="19" t="n">
        <x:f>IFERROR(N89/L89,0)</x:f>
        <x:v>0.0643598615916955</x:v>
      </x:c>
      <x:c r="P89" s="12" t="str">
        <x:v>취소</x:v>
      </x:c>
      <x:c r="Q89" s="12" t="str">
        <x:v>최유진</x:v>
      </x:c>
    </x:row>
    <x:row r="90">
      <x:c r="A90" s="12" t="str">
        <x:v>ORD-2026-0089</x:v>
      </x:c>
      <x:c r="B90" s="13" t="n">
        <x:v>46101</x:v>
      </x:c>
      <x:c r="C90" s="12" t="str">
        <x:v>미래상사</x:v>
      </x:c>
      <x:c r="D90" s="12" t="str">
        <x:v>강원</x:v>
      </x:c>
      <x:c r="E90" s="12" t="str">
        <x:v>오프라인</x:v>
      </x:c>
      <x:c r="F90" s="12" t="str">
        <x:v>AC-001</x:v>
      </x:c>
      <x:c r="G90" s="12" t="str">
        <x:v>Mechanical Keyboard</x:v>
      </x:c>
      <x:c r="H90" s="12" t="str">
        <x:v>주변기기</x:v>
      </x:c>
      <x:c r="I90" s="12" t="n">
        <x:v>5</x:v>
      </x:c>
      <x:c r="J90" s="15" t="n">
        <x:v>129000</x:v>
      </x:c>
      <x:c r="K90" s="17" t="n">
        <x:v>0</x:v>
      </x:c>
      <x:c r="L90" s="15" t="n">
        <x:f>I90*J90*(1-K90)</x:f>
        <x:v>645000</x:v>
      </x:c>
      <x:c r="M90" s="15" t="n">
        <x:v>72000</x:v>
      </x:c>
      <x:c r="N90" s="15" t="n">
        <x:f>L90-(I90*M90)</x:f>
        <x:v>285000</x:v>
      </x:c>
      <x:c r="O90" s="19" t="n">
        <x:f>IFERROR(N90/L90,0)</x:f>
        <x:v>0.4418604651162791</x:v>
      </x:c>
      <x:c r="P90" s="12" t="str">
        <x:v>배송완료</x:v>
      </x:c>
      <x:c r="Q90" s="12" t="str">
        <x:v>김민준</x:v>
      </x:c>
    </x:row>
    <x:row r="91">
      <x:c r="A91" s="12" t="str">
        <x:v>ORD-2026-0090</x:v>
      </x:c>
      <x:c r="B91" s="13" t="n">
        <x:v>46218</x:v>
      </x:c>
      <x:c r="C91" s="12" t="str">
        <x:v>대한국제</x:v>
      </x:c>
      <x:c r="D91" s="12" t="str">
        <x:v>강원</x:v>
      </x:c>
      <x:c r="E91" s="12" t="str">
        <x:v>마켓플레이스</x:v>
      </x:c>
      <x:c r="F91" s="12" t="str">
        <x:v>SV-001</x:v>
      </x:c>
      <x:c r="G91" s="12" t="str">
        <x:v>Edge Server S1</x:v>
      </x:c>
      <x:c r="H91" s="12" t="str">
        <x:v>서버</x:v>
      </x:c>
      <x:c r="I91" s="12" t="n">
        <x:v>1</x:v>
      </x:c>
      <x:c r="J91" s="15" t="n">
        <x:v>4250000</x:v>
      </x:c>
      <x:c r="K91" s="17" t="n">
        <x:v>0</x:v>
      </x:c>
      <x:c r="L91" s="15" t="n">
        <x:f>I91*J91*(1-K91)</x:f>
        <x:v>4250000</x:v>
      </x:c>
      <x:c r="M91" s="15" t="n">
        <x:v>3380000</x:v>
      </x:c>
      <x:c r="N91" s="15" t="n">
        <x:f>L91-(I91*M91)</x:f>
        <x:v>870000</x:v>
      </x:c>
      <x:c r="O91" s="19" t="n">
        <x:f>IFERROR(N91/L91,0)</x:f>
        <x:v>0.20470588235294118</x:v>
      </x:c>
      <x:c r="P91" s="12" t="str">
        <x:v>배송완료</x:v>
      </x:c>
      <x:c r="Q91" s="12" t="str">
        <x:v>오세훈</x:v>
      </x:c>
    </x:row>
    <x:row r="92">
      <x:c r="A92" s="12" t="str">
        <x:v>ORD-2026-0091</x:v>
      </x:c>
      <x:c r="B92" s="13" t="n">
        <x:v>46217</x:v>
      </x:c>
      <x:c r="C92" s="12" t="str">
        <x:v>대한국제</x:v>
      </x:c>
      <x:c r="D92" s="12" t="str">
        <x:v>충청</x:v>
      </x:c>
      <x:c r="E92" s="12" t="str">
        <x:v>오프라인</x:v>
      </x:c>
      <x:c r="F92" s="12" t="str">
        <x:v>SV-002</x:v>
      </x:c>
      <x:c r="G92" s="12" t="str">
        <x:v>GPU Server G2</x:v>
      </x:c>
      <x:c r="H92" s="12" t="str">
        <x:v>서버</x:v>
      </x:c>
      <x:c r="I92" s="12" t="n">
        <x:v>2</x:v>
      </x:c>
      <x:c r="J92" s="15" t="n">
        <x:v>11800000</x:v>
      </x:c>
      <x:c r="K92" s="17" t="n">
        <x:v>0</x:v>
      </x:c>
      <x:c r="L92" s="15" t="n">
        <x:f>I92*J92*(1-K92)</x:f>
        <x:v>23600000</x:v>
      </x:c>
      <x:c r="M92" s="15" t="n">
        <x:v>9740000</x:v>
      </x:c>
      <x:c r="N92" s="15" t="n">
        <x:f>L92-(I92*M92)</x:f>
        <x:v>4120000</x:v>
      </x:c>
      <x:c r="O92" s="19" t="n">
        <x:f>IFERROR(N92/L92,0)</x:f>
        <x:v>0.17457627118644067</x:v>
      </x:c>
      <x:c r="P92" s="12" t="str">
        <x:v>배송완료</x:v>
      </x:c>
      <x:c r="Q92" s="12" t="str">
        <x:v>이서연</x:v>
      </x:c>
    </x:row>
    <x:row r="93">
      <x:c r="A93" s="12" t="str">
        <x:v>ORD-2026-0092</x:v>
      </x:c>
      <x:c r="B93" s="13" t="n">
        <x:v>46026</x:v>
      </x:c>
      <x:c r="C93" s="12" t="str">
        <x:v>한빛테크</x:v>
      </x:c>
      <x:c r="D93" s="12" t="str">
        <x:v>서울</x:v>
      </x:c>
      <x:c r="E93" s="12" t="str">
        <x:v>B2B</x:v>
      </x:c>
      <x:c r="F93" s="12" t="str">
        <x:v>AC-001</x:v>
      </x:c>
      <x:c r="G93" s="12" t="str">
        <x:v>Mechanical Keyboard</x:v>
      </x:c>
      <x:c r="H93" s="12" t="str">
        <x:v>주변기기</x:v>
      </x:c>
      <x:c r="I93" s="12" t="n">
        <x:v>3</x:v>
      </x:c>
      <x:c r="J93" s="15" t="n">
        <x:v>129000</x:v>
      </x:c>
      <x:c r="K93" s="17" t="n">
        <x:v>0.03</x:v>
      </x:c>
      <x:c r="L93" s="15" t="n">
        <x:f>I93*J93*(1-K93)</x:f>
        <x:v>375390</x:v>
      </x:c>
      <x:c r="M93" s="15" t="n">
        <x:v>72000</x:v>
      </x:c>
      <x:c r="N93" s="15" t="n">
        <x:f>L93-(I93*M93)</x:f>
        <x:v>159390</x:v>
      </x:c>
      <x:c r="O93" s="19" t="n">
        <x:f>IFERROR(N93/L93,0)</x:f>
        <x:v>0.42459841764564854</x:v>
      </x:c>
      <x:c r="P93" s="12" t="str">
        <x:v>취소</x:v>
      </x:c>
      <x:c r="Q93" s="12" t="str">
        <x:v>이서연</x:v>
      </x:c>
    </x:row>
    <x:row r="94">
      <x:c r="A94" s="12" t="str">
        <x:v>ORD-2026-0093</x:v>
      </x:c>
      <x:c r="B94" s="13" t="n">
        <x:v>46049</x:v>
      </x:c>
      <x:c r="C94" s="12" t="str">
        <x:v>알파솔루션</x:v>
      </x:c>
      <x:c r="D94" s="12" t="str">
        <x:v>영남</x:v>
      </x:c>
      <x:c r="E94" s="12" t="str">
        <x:v>마켓플레이스</x:v>
      </x:c>
      <x:c r="F94" s="12" t="str">
        <x:v>SW-001</x:v>
      </x:c>
      <x:c r="G94" s="12" t="str">
        <x:v>Office Suite Annual</x:v>
      </x:c>
      <x:c r="H94" s="12" t="str">
        <x:v>소프트웨어</x:v>
      </x:c>
      <x:c r="I94" s="12" t="n">
        <x:v>1</x:v>
      </x:c>
      <x:c r="J94" s="15" t="n">
        <x:v>148000</x:v>
      </x:c>
      <x:c r="K94" s="17" t="n">
        <x:v>0.1</x:v>
      </x:c>
      <x:c r="L94" s="15" t="n">
        <x:f>I94*J94*(1-K94)</x:f>
        <x:v>133200</x:v>
      </x:c>
      <x:c r="M94" s="15" t="n">
        <x:v>42000</x:v>
      </x:c>
      <x:c r="N94" s="15" t="n">
        <x:f>L94-(I94*M94)</x:f>
        <x:v>91200</x:v>
      </x:c>
      <x:c r="O94" s="19" t="n">
        <x:f>IFERROR(N94/L94,0)</x:f>
        <x:v>0.6846846846846847</x:v>
      </x:c>
      <x:c r="P94" s="12" t="str">
        <x:v>배송중</x:v>
      </x:c>
      <x:c r="Q94" s="12" t="str">
        <x:v>박지훈</x:v>
      </x:c>
    </x:row>
    <x:row r="95">
      <x:c r="A95" s="12" t="str">
        <x:v>ORD-2026-0094</x:v>
      </x:c>
      <x:c r="B95" s="13" t="n">
        <x:v>46036</x:v>
      </x:c>
      <x:c r="C95" s="12" t="str">
        <x:v>오로라랩</x:v>
      </x:c>
      <x:c r="D95" s="12" t="str">
        <x:v>서울</x:v>
      </x:c>
      <x:c r="E95" s="12" t="str">
        <x:v>온라인</x:v>
      </x:c>
      <x:c r="F95" s="12" t="str">
        <x:v>MN-001</x:v>
      </x:c>
      <x:c r="G95" s="12" t="str">
        <x:v>Vision 27Q</x:v>
      </x:c>
      <x:c r="H95" s="12" t="str">
        <x:v>모니터</x:v>
      </x:c>
      <x:c r="I95" s="12" t="n">
        <x:v>5</x:v>
      </x:c>
      <x:c r="J95" s="15" t="n">
        <x:v>420000</x:v>
      </x:c>
      <x:c r="K95" s="17" t="n">
        <x:v>0.2</x:v>
      </x:c>
      <x:c r="L95" s="15" t="n">
        <x:f>I95*J95*(1-K95)</x:f>
        <x:v>1680000</x:v>
      </x:c>
      <x:c r="M95" s="15" t="n">
        <x:v>285000</x:v>
      </x:c>
      <x:c r="N95" s="15" t="n">
        <x:f>L95-(I95*M95)</x:f>
        <x:v>255000</x:v>
      </x:c>
      <x:c r="O95" s="19" t="n">
        <x:f>IFERROR(N95/L95,0)</x:f>
        <x:v>0.15178571428571427</x:v>
      </x:c>
      <x:c r="P95" s="12" t="str">
        <x:v>배송중</x:v>
      </x:c>
      <x:c r="Q95" s="12" t="str">
        <x:v>최유진</x:v>
      </x:c>
    </x:row>
    <x:row r="96">
      <x:c r="A96" s="12" t="str">
        <x:v>ORD-2026-0095</x:v>
      </x:c>
      <x:c r="B96" s="13" t="n">
        <x:v>46170</x:v>
      </x:c>
      <x:c r="C96" s="12" t="str">
        <x:v>세종연구소</x:v>
      </x:c>
      <x:c r="D96" s="12" t="str">
        <x:v>호남</x:v>
      </x:c>
      <x:c r="E96" s="12" t="str">
        <x:v>B2B</x:v>
      </x:c>
      <x:c r="F96" s="12" t="str">
        <x:v>NB-002</x:v>
      </x:c>
      <x:c r="G96" s="12" t="str">
        <x:v>NovaBook Pro 16</x:v>
      </x:c>
      <x:c r="H96" s="12" t="str">
        <x:v>노트북</x:v>
      </x:c>
      <x:c r="I96" s="12" t="n">
        <x:v>1</x:v>
      </x:c>
      <x:c r="J96" s="15" t="n">
        <x:v>1680000</x:v>
      </x:c>
      <x:c r="K96" s="17" t="n">
        <x:v>0</x:v>
      </x:c>
      <x:c r="L96" s="15" t="n">
        <x:f>I96*J96*(1-K96)</x:f>
        <x:v>1680000</x:v>
      </x:c>
      <x:c r="M96" s="15" t="n">
        <x:v>1240000</x:v>
      </x:c>
      <x:c r="N96" s="15" t="n">
        <x:f>L96-(I96*M96)</x:f>
        <x:v>440000</x:v>
      </x:c>
      <x:c r="O96" s="19" t="n">
        <x:f>IFERROR(N96/L96,0)</x:f>
        <x:v>0.2619047619047619</x:v>
      </x:c>
      <x:c r="P96" s="12" t="str">
        <x:v>배송완료</x:v>
      </x:c>
      <x:c r="Q96" s="12" t="str">
        <x:v>이서연</x:v>
      </x:c>
    </x:row>
    <x:row r="97">
      <x:c r="A97" s="12" t="str">
        <x:v>ORD-2026-0096</x:v>
      </x:c>
      <x:c r="B97" s="13" t="n">
        <x:v>46165</x:v>
      </x:c>
      <x:c r="C97" s="12" t="str">
        <x:v>비전교육</x:v>
      </x:c>
      <x:c r="D97" s="12" t="str">
        <x:v>호남</x:v>
      </x:c>
      <x:c r="E97" s="12" t="str">
        <x:v>오프라인</x:v>
      </x:c>
      <x:c r="F97" s="12" t="str">
        <x:v>NB-002</x:v>
      </x:c>
      <x:c r="G97" s="12" t="str">
        <x:v>NovaBook Pro 16</x:v>
      </x:c>
      <x:c r="H97" s="12" t="str">
        <x:v>노트북</x:v>
      </x:c>
      <x:c r="I97" s="12" t="n">
        <x:v>7</x:v>
      </x:c>
      <x:c r="J97" s="15" t="n">
        <x:v>1680000</x:v>
      </x:c>
      <x:c r="K97" s="17" t="n">
        <x:v>0.1</x:v>
      </x:c>
      <x:c r="L97" s="15" t="n">
        <x:f>I97*J97*(1-K97)</x:f>
        <x:v>10584000</x:v>
      </x:c>
      <x:c r="M97" s="15" t="n">
        <x:v>1240000</x:v>
      </x:c>
      <x:c r="N97" s="15" t="n">
        <x:f>L97-(I97*M97)</x:f>
        <x:v>1904000</x:v>
      </x:c>
      <x:c r="O97" s="19" t="n">
        <x:f>IFERROR(N97/L97,0)</x:f>
        <x:v>0.17989417989417988</x:v>
      </x:c>
      <x:c r="P97" s="12" t="str">
        <x:v>처리중</x:v>
      </x:c>
      <x:c r="Q97" s="12" t="str">
        <x:v>최유진</x:v>
      </x:c>
    </x:row>
    <x:row r="98">
      <x:c r="A98" s="12" t="str">
        <x:v>ORD-2026-0097</x:v>
      </x:c>
      <x:c r="B98" s="13" t="n">
        <x:v>46136</x:v>
      </x:c>
      <x:c r="C98" s="12" t="str">
        <x:v>비전교육</x:v>
      </x:c>
      <x:c r="D98" s="12" t="str">
        <x:v>영남</x:v>
      </x:c>
      <x:c r="E98" s="12" t="str">
        <x:v>B2B</x:v>
      </x:c>
      <x:c r="F98" s="12" t="str">
        <x:v>SW-001</x:v>
      </x:c>
      <x:c r="G98" s="12" t="str">
        <x:v>Office Suite Annual</x:v>
      </x:c>
      <x:c r="H98" s="12" t="str">
        <x:v>소프트웨어</x:v>
      </x:c>
      <x:c r="I98" s="12" t="n">
        <x:v>5</x:v>
      </x:c>
      <x:c r="J98" s="15" t="n">
        <x:v>148000</x:v>
      </x:c>
      <x:c r="K98" s="17" t="n">
        <x:v>0.2</x:v>
      </x:c>
      <x:c r="L98" s="15" t="n">
        <x:f>I98*J98*(1-K98)</x:f>
        <x:v>592000</x:v>
      </x:c>
      <x:c r="M98" s="15" t="n">
        <x:v>42000</x:v>
      </x:c>
      <x:c r="N98" s="15" t="n">
        <x:f>L98-(I98*M98)</x:f>
        <x:v>382000</x:v>
      </x:c>
      <x:c r="O98" s="19" t="n">
        <x:f>IFERROR(N98/L98,0)</x:f>
        <x:v>0.6452702702702703</x:v>
      </x:c>
      <x:c r="P98" s="12" t="str">
        <x:v>처리중</x:v>
      </x:c>
      <x:c r="Q98" s="12" t="str">
        <x:v>정하늘</x:v>
      </x:c>
    </x:row>
    <x:row r="99">
      <x:c r="A99" s="12" t="str">
        <x:v>ORD-2026-0098</x:v>
      </x:c>
      <x:c r="B99" s="13" t="n">
        <x:v>46179</x:v>
      </x:c>
      <x:c r="C99" s="12" t="str">
        <x:v>대한국제</x:v>
      </x:c>
      <x:c r="D99" s="12" t="str">
        <x:v>강원</x:v>
      </x:c>
      <x:c r="E99" s="12" t="str">
        <x:v>오프라인</x:v>
      </x:c>
      <x:c r="F99" s="12" t="str">
        <x:v>NB-001</x:v>
      </x:c>
      <x:c r="G99" s="12" t="str">
        <x:v>NovaBook Air 14</x:v>
      </x:c>
      <x:c r="H99" s="12" t="str">
        <x:v>노트북</x:v>
      </x:c>
      <x:c r="I99" s="12" t="n">
        <x:v>2</x:v>
      </x:c>
      <x:c r="J99" s="15" t="n">
        <x:v>980000</x:v>
      </x:c>
      <x:c r="K99" s="17" t="n">
        <x:v>0.2</x:v>
      </x:c>
      <x:c r="L99" s="15" t="n">
        <x:f>I99*J99*(1-K99)</x:f>
        <x:v>1568000</x:v>
      </x:c>
      <x:c r="M99" s="15" t="n">
        <x:v>720000</x:v>
      </x:c>
      <x:c r="N99" s="15" t="n">
        <x:f>L99-(I99*M99)</x:f>
        <x:v>128000</x:v>
      </x:c>
      <x:c r="O99" s="19" t="n">
        <x:f>IFERROR(N99/L99,0)</x:f>
        <x:v>0.08163265306122448</x:v>
      </x:c>
      <x:c r="P99" s="12" t="str">
        <x:v>배송완료</x:v>
      </x:c>
      <x:c r="Q99" s="12" t="str">
        <x:v>오세훈</x:v>
      </x:c>
    </x:row>
    <x:row r="100">
      <x:c r="A100" s="12" t="str">
        <x:v>ORD-2026-0099</x:v>
      </x:c>
      <x:c r="B100" s="13" t="n">
        <x:v>46063</x:v>
      </x:c>
      <x:c r="C100" s="12" t="str">
        <x:v>스마트팩토리</x:v>
      </x:c>
      <x:c r="D100" s="12" t="str">
        <x:v>서울</x:v>
      </x:c>
      <x:c r="E100" s="12" t="str">
        <x:v>오프라인</x:v>
      </x:c>
      <x:c r="F100" s="12" t="str">
        <x:v>NB-002</x:v>
      </x:c>
      <x:c r="G100" s="12" t="str">
        <x:v>NovaBook Pro 16</x:v>
      </x:c>
      <x:c r="H100" s="12" t="str">
        <x:v>노트북</x:v>
      </x:c>
      <x:c r="I100" s="12" t="n">
        <x:v>4</x:v>
      </x:c>
      <x:c r="J100" s="15" t="n">
        <x:v>1680000</x:v>
      </x:c>
      <x:c r="K100" s="17" t="n">
        <x:v>0</x:v>
      </x:c>
      <x:c r="L100" s="15" t="n">
        <x:f>I100*J100*(1-K100)</x:f>
        <x:v>6720000</x:v>
      </x:c>
      <x:c r="M100" s="15" t="n">
        <x:v>1240000</x:v>
      </x:c>
      <x:c r="N100" s="15" t="n">
        <x:f>L100-(I100*M100)</x:f>
        <x:v>1760000</x:v>
      </x:c>
      <x:c r="O100" s="19" t="n">
        <x:f>IFERROR(N100/L100,0)</x:f>
        <x:v>0.2619047619047619</x:v>
      </x:c>
      <x:c r="P100" s="12" t="str">
        <x:v>배송완료</x:v>
      </x:c>
      <x:c r="Q100" s="12" t="str">
        <x:v>최유진</x:v>
      </x:c>
    </x:row>
    <x:row r="101">
      <x:c r="A101" s="12" t="str">
        <x:v>ORD-2026-0100</x:v>
      </x:c>
      <x:c r="B101" s="13" t="n">
        <x:v>46199</x:v>
      </x:c>
      <x:c r="C101" s="12" t="str">
        <x:v>한빛테크</x:v>
      </x:c>
      <x:c r="D101" s="12" t="str">
        <x:v>경기</x:v>
      </x:c>
      <x:c r="E101" s="12" t="str">
        <x:v>B2B</x:v>
      </x:c>
      <x:c r="F101" s="12" t="str">
        <x:v>SW-001</x:v>
      </x:c>
      <x:c r="G101" s="12" t="str">
        <x:v>Office Suite Annual</x:v>
      </x:c>
      <x:c r="H101" s="12" t="str">
        <x:v>소프트웨어</x:v>
      </x:c>
      <x:c r="I101" s="12" t="n">
        <x:v>8</x:v>
      </x:c>
      <x:c r="J101" s="15" t="n">
        <x:v>148000</x:v>
      </x:c>
      <x:c r="K101" s="17" t="n">
        <x:v>0.03</x:v>
      </x:c>
      <x:c r="L101" s="15" t="n">
        <x:f>I101*J101*(1-K101)</x:f>
        <x:v>1148480</x:v>
      </x:c>
      <x:c r="M101" s="15" t="n">
        <x:v>42000</x:v>
      </x:c>
      <x:c r="N101" s="15" t="n">
        <x:f>L101-(I101*M101)</x:f>
        <x:v>812480</x:v>
      </x:c>
      <x:c r="O101" s="19" t="n">
        <x:f>IFERROR(N101/L101,0)</x:f>
        <x:v>0.7074393981610476</x:v>
      </x:c>
      <x:c r="P101" s="12" t="str">
        <x:v>취소</x:v>
      </x:c>
      <x:c r="Q101" s="12" t="str">
        <x:v>박지훈</x:v>
      </x:c>
    </x:row>
    <x:row r="102">
      <x:c r="A102" s="12" t="str">
        <x:v>ORD-2026-0101</x:v>
      </x:c>
      <x:c r="B102" s="13" t="n">
        <x:v>46041</x:v>
      </x:c>
      <x:c r="C102" s="12" t="str">
        <x:v>비전교육</x:v>
      </x:c>
      <x:c r="D102" s="12" t="str">
        <x:v>강원</x:v>
      </x:c>
      <x:c r="E102" s="12" t="str">
        <x:v>오프라인</x:v>
      </x:c>
      <x:c r="F102" s="12" t="str">
        <x:v>SW-001</x:v>
      </x:c>
      <x:c r="G102" s="12" t="str">
        <x:v>Office Suite Annual</x:v>
      </x:c>
      <x:c r="H102" s="12" t="str">
        <x:v>소프트웨어</x:v>
      </x:c>
      <x:c r="I102" s="12" t="n">
        <x:v>4</x:v>
      </x:c>
      <x:c r="J102" s="15" t="n">
        <x:v>148000</x:v>
      </x:c>
      <x:c r="K102" s="17" t="n">
        <x:v>0.03</x:v>
      </x:c>
      <x:c r="L102" s="15" t="n">
        <x:f>I102*J102*(1-K102)</x:f>
        <x:v>574240</x:v>
      </x:c>
      <x:c r="M102" s="15" t="n">
        <x:v>42000</x:v>
      </x:c>
      <x:c r="N102" s="15" t="n">
        <x:f>L102-(I102*M102)</x:f>
        <x:v>406240</x:v>
      </x:c>
      <x:c r="O102" s="19" t="n">
        <x:f>IFERROR(N102/L102,0)</x:f>
        <x:v>0.7074393981610476</x:v>
      </x:c>
      <x:c r="P102" s="12" t="str">
        <x:v>배송중</x:v>
      </x:c>
      <x:c r="Q102" s="12" t="str">
        <x:v>김민준</x:v>
      </x:c>
    </x:row>
    <x:row r="103">
      <x:c r="A103" s="12" t="str">
        <x:v>ORD-2026-0102</x:v>
      </x:c>
      <x:c r="B103" s="13" t="n">
        <x:v>46080</x:v>
      </x:c>
      <x:c r="C103" s="12" t="str">
        <x:v>세종연구소</x:v>
      </x:c>
      <x:c r="D103" s="12" t="str">
        <x:v>서울</x:v>
      </x:c>
      <x:c r="E103" s="12" t="str">
        <x:v>온라인</x:v>
      </x:c>
      <x:c r="F103" s="12" t="str">
        <x:v>SV-001</x:v>
      </x:c>
      <x:c r="G103" s="12" t="str">
        <x:v>Edge Server S1</x:v>
      </x:c>
      <x:c r="H103" s="12" t="str">
        <x:v>서버</x:v>
      </x:c>
      <x:c r="I103" s="12" t="n">
        <x:v>1</x:v>
      </x:c>
      <x:c r="J103" s="15" t="n">
        <x:v>4250000</x:v>
      </x:c>
      <x:c r="K103" s="17" t="n">
        <x:v>0.03</x:v>
      </x:c>
      <x:c r="L103" s="15" t="n">
        <x:f>I103*J103*(1-K103)</x:f>
        <x:v>4122500</x:v>
      </x:c>
      <x:c r="M103" s="15" t="n">
        <x:v>3380000</x:v>
      </x:c>
      <x:c r="N103" s="15" t="n">
        <x:f>L103-(I103*M103)</x:f>
        <x:v>742500</x:v>
      </x:c>
      <x:c r="O103" s="19" t="n">
        <x:f>IFERROR(N103/L103,0)</x:f>
        <x:v>0.1801091570648878</x:v>
      </x:c>
      <x:c r="P103" s="12" t="str">
        <x:v>배송완료</x:v>
      </x:c>
      <x:c r="Q103" s="12" t="str">
        <x:v>박지훈</x:v>
      </x:c>
    </x:row>
    <x:row r="104">
      <x:c r="A104" s="12" t="str">
        <x:v>ORD-2026-0103</x:v>
      </x:c>
      <x:c r="B104" s="13" t="n">
        <x:v>46214</x:v>
      </x:c>
      <x:c r="C104" s="12" t="str">
        <x:v>미래상사</x:v>
      </x:c>
      <x:c r="D104" s="12" t="str">
        <x:v>영남</x:v>
      </x:c>
      <x:c r="E104" s="12" t="str">
        <x:v>B2B</x:v>
      </x:c>
      <x:c r="F104" s="12" t="str">
        <x:v>SV-002</x:v>
      </x:c>
      <x:c r="G104" s="12" t="str">
        <x:v>GPU Server G2</x:v>
      </x:c>
      <x:c r="H104" s="12" t="str">
        <x:v>서버</x:v>
      </x:c>
      <x:c r="I104" s="12" t="n">
        <x:v>2</x:v>
      </x:c>
      <x:c r="J104" s="15" t="n">
        <x:v>11800000</x:v>
      </x:c>
      <x:c r="K104" s="17" t="n">
        <x:v>0.05</x:v>
      </x:c>
      <x:c r="L104" s="15" t="n">
        <x:f>I104*J104*(1-K104)</x:f>
        <x:v>22420000</x:v>
      </x:c>
      <x:c r="M104" s="15" t="n">
        <x:v>9740000</x:v>
      </x:c>
      <x:c r="N104" s="15" t="n">
        <x:f>L104-(I104*M104)</x:f>
        <x:v>2940000</x:v>
      </x:c>
      <x:c r="O104" s="19" t="n">
        <x:f>IFERROR(N104/L104,0)</x:f>
        <x:v>0.1311329170383586</x:v>
      </x:c>
      <x:c r="P104" s="12" t="str">
        <x:v>취소</x:v>
      </x:c>
      <x:c r="Q104" s="12" t="str">
        <x:v>최유진</x:v>
      </x:c>
    </x:row>
    <x:row r="105">
      <x:c r="A105" s="12" t="str">
        <x:v>ORD-2026-0104</x:v>
      </x:c>
      <x:c r="B105" s="13" t="n">
        <x:v>46151</x:v>
      </x:c>
      <x:c r="C105" s="12" t="str">
        <x:v>미래상사</x:v>
      </x:c>
      <x:c r="D105" s="12" t="str">
        <x:v>호남</x:v>
      </x:c>
      <x:c r="E105" s="12" t="str">
        <x:v>온라인</x:v>
      </x:c>
      <x:c r="F105" s="12" t="str">
        <x:v>AC-001</x:v>
      </x:c>
      <x:c r="G105" s="12" t="str">
        <x:v>Mechanical Keyboard</x:v>
      </x:c>
      <x:c r="H105" s="12" t="str">
        <x:v>주변기기</x:v>
      </x:c>
      <x:c r="I105" s="12" t="n">
        <x:v>8</x:v>
      </x:c>
      <x:c r="J105" s="15" t="n">
        <x:v>129000</x:v>
      </x:c>
      <x:c r="K105" s="17" t="n">
        <x:v>0.05</x:v>
      </x:c>
      <x:c r="L105" s="15" t="n">
        <x:f>I105*J105*(1-K105)</x:f>
        <x:v>980400</x:v>
      </x:c>
      <x:c r="M105" s="15" t="n">
        <x:v>72000</x:v>
      </x:c>
      <x:c r="N105" s="15" t="n">
        <x:f>L105-(I105*M105)</x:f>
        <x:v>404400</x:v>
      </x:c>
      <x:c r="O105" s="19" t="n">
        <x:f>IFERROR(N105/L105,0)</x:f>
        <x:v>0.412484700122399</x:v>
      </x:c>
      <x:c r="P105" s="12" t="str">
        <x:v>배송중</x:v>
      </x:c>
      <x:c r="Q105" s="12" t="str">
        <x:v>오세훈</x:v>
      </x:c>
    </x:row>
    <x:row r="106">
      <x:c r="A106" s="12" t="str">
        <x:v>ORD-2026-0105</x:v>
      </x:c>
      <x:c r="B106" s="13" t="n">
        <x:v>46177</x:v>
      </x:c>
      <x:c r="C106" s="12" t="str">
        <x:v>미래상사</x:v>
      </x:c>
      <x:c r="D106" s="12" t="str">
        <x:v>경기</x:v>
      </x:c>
      <x:c r="E106" s="12" t="str">
        <x:v>온라인</x:v>
      </x:c>
      <x:c r="F106" s="12" t="str">
        <x:v>AC-002</x:v>
      </x:c>
      <x:c r="G106" s="12" t="str">
        <x:v>Wireless Mouse</x:v>
      </x:c>
      <x:c r="H106" s="12" t="str">
        <x:v>주변기기</x:v>
      </x:c>
      <x:c r="I106" s="12" t="n">
        <x:v>5</x:v>
      </x:c>
      <x:c r="J106" s="15" t="n">
        <x:v>69000</x:v>
      </x:c>
      <x:c r="K106" s="17" t="n">
        <x:v>0</x:v>
      </x:c>
      <x:c r="L106" s="15" t="n">
        <x:f>I106*J106*(1-K106)</x:f>
        <x:v>345000</x:v>
      </x:c>
      <x:c r="M106" s="15" t="n">
        <x:v>35000</x:v>
      </x:c>
      <x:c r="N106" s="15" t="n">
        <x:f>L106-(I106*M106)</x:f>
        <x:v>170000</x:v>
      </x:c>
      <x:c r="O106" s="19" t="n">
        <x:f>IFERROR(N106/L106,0)</x:f>
        <x:v>0.4927536231884058</x:v>
      </x:c>
      <x:c r="P106" s="12" t="str">
        <x:v>취소</x:v>
      </x:c>
      <x:c r="Q106" s="12" t="str">
        <x:v>박지훈</x:v>
      </x:c>
    </x:row>
    <x:row r="107">
      <x:c r="A107" s="12" t="str">
        <x:v>ORD-2026-0106</x:v>
      </x:c>
      <x:c r="B107" s="13" t="n">
        <x:v>46033</x:v>
      </x:c>
      <x:c r="C107" s="12" t="str">
        <x:v>스마트팩토리</x:v>
      </x:c>
      <x:c r="D107" s="12" t="str">
        <x:v>강원</x:v>
      </x:c>
      <x:c r="E107" s="12" t="str">
        <x:v>마켓플레이스</x:v>
      </x:c>
      <x:c r="F107" s="12" t="str">
        <x:v>SV-002</x:v>
      </x:c>
      <x:c r="G107" s="12" t="str">
        <x:v>GPU Server G2</x:v>
      </x:c>
      <x:c r="H107" s="12" t="str">
        <x:v>서버</x:v>
      </x:c>
      <x:c r="I107" s="12" t="n">
        <x:v>1</x:v>
      </x:c>
      <x:c r="J107" s="15" t="n">
        <x:v>11800000</x:v>
      </x:c>
      <x:c r="K107" s="17" t="n">
        <x:v>0.05</x:v>
      </x:c>
      <x:c r="L107" s="15" t="n">
        <x:f>I107*J107*(1-K107)</x:f>
        <x:v>11210000</x:v>
      </x:c>
      <x:c r="M107" s="15" t="n">
        <x:v>9740000</x:v>
      </x:c>
      <x:c r="N107" s="15" t="n">
        <x:f>L107-(I107*M107)</x:f>
        <x:v>1470000</x:v>
      </x:c>
      <x:c r="O107" s="19" t="n">
        <x:f>IFERROR(N107/L107,0)</x:f>
        <x:v>0.1311329170383586</x:v>
      </x:c>
      <x:c r="P107" s="12" t="str">
        <x:v>배송완료</x:v>
      </x:c>
      <x:c r="Q107" s="12" t="str">
        <x:v>이서연</x:v>
      </x:c>
    </x:row>
    <x:row r="108">
      <x:c r="A108" s="12" t="str">
        <x:v>ORD-2026-0107</x:v>
      </x:c>
      <x:c r="B108" s="13" t="n">
        <x:v>46134</x:v>
      </x:c>
      <x:c r="C108" s="12" t="str">
        <x:v>오로라랩</x:v>
      </x:c>
      <x:c r="D108" s="12" t="str">
        <x:v>충청</x:v>
      </x:c>
      <x:c r="E108" s="12" t="str">
        <x:v>마켓플레이스</x:v>
      </x:c>
      <x:c r="F108" s="12" t="str">
        <x:v>SV-002</x:v>
      </x:c>
      <x:c r="G108" s="12" t="str">
        <x:v>GPU Server G2</x:v>
      </x:c>
      <x:c r="H108" s="12" t="str">
        <x:v>서버</x:v>
      </x:c>
      <x:c r="I108" s="12" t="n">
        <x:v>2</x:v>
      </x:c>
      <x:c r="J108" s="15" t="n">
        <x:v>11800000</x:v>
      </x:c>
      <x:c r="K108" s="17" t="n">
        <x:v>0</x:v>
      </x:c>
      <x:c r="L108" s="15" t="n">
        <x:f>I108*J108*(1-K108)</x:f>
        <x:v>23600000</x:v>
      </x:c>
      <x:c r="M108" s="15" t="n">
        <x:v>9740000</x:v>
      </x:c>
      <x:c r="N108" s="15" t="n">
        <x:f>L108-(I108*M108)</x:f>
        <x:v>4120000</x:v>
      </x:c>
      <x:c r="O108" s="19" t="n">
        <x:f>IFERROR(N108/L108,0)</x:f>
        <x:v>0.17457627118644067</x:v>
      </x:c>
      <x:c r="P108" s="12" t="str">
        <x:v>배송완료</x:v>
      </x:c>
      <x:c r="Q108" s="12" t="str">
        <x:v>박지훈</x:v>
      </x:c>
    </x:row>
    <x:row r="109">
      <x:c r="A109" s="12" t="str">
        <x:v>ORD-2026-0108</x:v>
      </x:c>
      <x:c r="B109" s="13" t="n">
        <x:v>46064</x:v>
      </x:c>
      <x:c r="C109" s="12" t="str">
        <x:v>오로라랩</x:v>
      </x:c>
      <x:c r="D109" s="12" t="str">
        <x:v>충청</x:v>
      </x:c>
      <x:c r="E109" s="12" t="str">
        <x:v>마켓플레이스</x:v>
      </x:c>
      <x:c r="F109" s="12" t="str">
        <x:v>NB-002</x:v>
      </x:c>
      <x:c r="G109" s="12" t="str">
        <x:v>NovaBook Pro 16</x:v>
      </x:c>
      <x:c r="H109" s="12" t="str">
        <x:v>노트북</x:v>
      </x:c>
      <x:c r="I109" s="12" t="n">
        <x:v>6</x:v>
      </x:c>
      <x:c r="J109" s="15" t="n">
        <x:v>1680000</x:v>
      </x:c>
      <x:c r="K109" s="17" t="n">
        <x:v>0.05</x:v>
      </x:c>
      <x:c r="L109" s="15" t="n">
        <x:f>I109*J109*(1-K109)</x:f>
        <x:v>9576000</x:v>
      </x:c>
      <x:c r="M109" s="15" t="n">
        <x:v>1240000</x:v>
      </x:c>
      <x:c r="N109" s="15" t="n">
        <x:f>L109-(I109*M109)</x:f>
        <x:v>2136000</x:v>
      </x:c>
      <x:c r="O109" s="19" t="n">
        <x:f>IFERROR(N109/L109,0)</x:f>
        <x:v>0.22305764411027568</x:v>
      </x:c>
      <x:c r="P109" s="12" t="str">
        <x:v>처리중</x:v>
      </x:c>
      <x:c r="Q109" s="12" t="str">
        <x:v>김민준</x:v>
      </x:c>
    </x:row>
    <x:row r="110">
      <x:c r="A110" s="12" t="str">
        <x:v>ORD-2026-0109</x:v>
      </x:c>
      <x:c r="B110" s="13" t="n">
        <x:v>46045</x:v>
      </x:c>
      <x:c r="C110" s="12" t="str">
        <x:v>서울디자인</x:v>
      </x:c>
      <x:c r="D110" s="12" t="str">
        <x:v>서울</x:v>
      </x:c>
      <x:c r="E110" s="12" t="str">
        <x:v>마켓플레이스</x:v>
      </x:c>
      <x:c r="F110" s="12" t="str">
        <x:v>SW-001</x:v>
      </x:c>
      <x:c r="G110" s="12" t="str">
        <x:v>Office Suite Annual</x:v>
      </x:c>
      <x:c r="H110" s="12" t="str">
        <x:v>소프트웨어</x:v>
      </x:c>
      <x:c r="I110" s="12" t="n">
        <x:v>6</x:v>
      </x:c>
      <x:c r="J110" s="15" t="n">
        <x:v>148000</x:v>
      </x:c>
      <x:c r="K110" s="17" t="n">
        <x:v>0.03</x:v>
      </x:c>
      <x:c r="L110" s="15" t="n">
        <x:f>I110*J110*(1-K110)</x:f>
        <x:v>861360</x:v>
      </x:c>
      <x:c r="M110" s="15" t="n">
        <x:v>42000</x:v>
      </x:c>
      <x:c r="N110" s="15" t="n">
        <x:f>L110-(I110*M110)</x:f>
        <x:v>609360</x:v>
      </x:c>
      <x:c r="O110" s="19" t="n">
        <x:f>IFERROR(N110/L110,0)</x:f>
        <x:v>0.7074393981610476</x:v>
      </x:c>
      <x:c r="P110" s="12" t="str">
        <x:v>처리중</x:v>
      </x:c>
      <x:c r="Q110" s="12" t="str">
        <x:v>김민준</x:v>
      </x:c>
    </x:row>
    <x:row r="111">
      <x:c r="A111" s="12" t="str">
        <x:v>ORD-2026-0110</x:v>
      </x:c>
      <x:c r="B111" s="13" t="n">
        <x:v>46141</x:v>
      </x:c>
      <x:c r="C111" s="12" t="str">
        <x:v>대한국제</x:v>
      </x:c>
      <x:c r="D111" s="12" t="str">
        <x:v>호남</x:v>
      </x:c>
      <x:c r="E111" s="12" t="str">
        <x:v>B2B</x:v>
      </x:c>
      <x:c r="F111" s="12" t="str">
        <x:v>SV-001</x:v>
      </x:c>
      <x:c r="G111" s="12" t="str">
        <x:v>Edge Server S1</x:v>
      </x:c>
      <x:c r="H111" s="12" t="str">
        <x:v>서버</x:v>
      </x:c>
      <x:c r="I111" s="12" t="n">
        <x:v>2</x:v>
      </x:c>
      <x:c r="J111" s="15" t="n">
        <x:v>4250000</x:v>
      </x:c>
      <x:c r="K111" s="17" t="n">
        <x:v>0</x:v>
      </x:c>
      <x:c r="L111" s="15" t="n">
        <x:f>I111*J111*(1-K111)</x:f>
        <x:v>8500000</x:v>
      </x:c>
      <x:c r="M111" s="15" t="n">
        <x:v>3380000</x:v>
      </x:c>
      <x:c r="N111" s="15" t="n">
        <x:f>L111-(I111*M111)</x:f>
        <x:v>1740000</x:v>
      </x:c>
      <x:c r="O111" s="19" t="n">
        <x:f>IFERROR(N111/L111,0)</x:f>
        <x:v>0.20470588235294118</x:v>
      </x:c>
      <x:c r="P111" s="12" t="str">
        <x:v>처리중</x:v>
      </x:c>
      <x:c r="Q111" s="12" t="str">
        <x:v>최유진</x:v>
      </x:c>
    </x:row>
    <x:row r="112">
      <x:c r="A112" s="12" t="str">
        <x:v>ORD-2026-0111</x:v>
      </x:c>
      <x:c r="B112" s="13" t="n">
        <x:v>46217</x:v>
      </x:c>
      <x:c r="C112" s="12" t="str">
        <x:v>알파솔루션</x:v>
      </x:c>
      <x:c r="D112" s="12" t="str">
        <x:v>호남</x:v>
      </x:c>
      <x:c r="E112" s="12" t="str">
        <x:v>오프라인</x:v>
      </x:c>
      <x:c r="F112" s="12" t="str">
        <x:v>SW-001</x:v>
      </x:c>
      <x:c r="G112" s="12" t="str">
        <x:v>Office Suite Annual</x:v>
      </x:c>
      <x:c r="H112" s="12" t="str">
        <x:v>소프트웨어</x:v>
      </x:c>
      <x:c r="I112" s="12" t="n">
        <x:v>1</x:v>
      </x:c>
      <x:c r="J112" s="15" t="n">
        <x:v>148000</x:v>
      </x:c>
      <x:c r="K112" s="17" t="n">
        <x:v>0</x:v>
      </x:c>
      <x:c r="L112" s="15" t="n">
        <x:f>I112*J112*(1-K112)</x:f>
        <x:v>148000</x:v>
      </x:c>
      <x:c r="M112" s="15" t="n">
        <x:v>42000</x:v>
      </x:c>
      <x:c r="N112" s="15" t="n">
        <x:f>L112-(I112*M112)</x:f>
        <x:v>106000</x:v>
      </x:c>
      <x:c r="O112" s="19" t="n">
        <x:f>IFERROR(N112/L112,0)</x:f>
        <x:v>0.7162162162162162</x:v>
      </x:c>
      <x:c r="P112" s="12" t="str">
        <x:v>배송완료</x:v>
      </x:c>
      <x:c r="Q112" s="12" t="str">
        <x:v>최유진</x:v>
      </x:c>
    </x:row>
    <x:row r="113">
      <x:c r="A113" s="12" t="str">
        <x:v>ORD-2026-0112</x:v>
      </x:c>
      <x:c r="B113" s="13" t="n">
        <x:v>46054</x:v>
      </x:c>
      <x:c r="C113" s="12" t="str">
        <x:v>비전교육</x:v>
      </x:c>
      <x:c r="D113" s="12" t="str">
        <x:v>경기</x:v>
      </x:c>
      <x:c r="E113" s="12" t="str">
        <x:v>오프라인</x:v>
      </x:c>
      <x:c r="F113" s="12" t="str">
        <x:v>SW-001</x:v>
      </x:c>
      <x:c r="G113" s="12" t="str">
        <x:v>Office Suite Annual</x:v>
      </x:c>
      <x:c r="H113" s="12" t="str">
        <x:v>소프트웨어</x:v>
      </x:c>
      <x:c r="I113" s="12" t="n">
        <x:v>1</x:v>
      </x:c>
      <x:c r="J113" s="15" t="n">
        <x:v>148000</x:v>
      </x:c>
      <x:c r="K113" s="17" t="n">
        <x:v>0.15</x:v>
      </x:c>
      <x:c r="L113" s="15" t="n">
        <x:f>I113*J113*(1-K113)</x:f>
        <x:v>125800</x:v>
      </x:c>
      <x:c r="M113" s="15" t="n">
        <x:v>42000</x:v>
      </x:c>
      <x:c r="N113" s="15" t="n">
        <x:f>L113-(I113*M113)</x:f>
        <x:v>83800</x:v>
      </x:c>
      <x:c r="O113" s="19" t="n">
        <x:f>IFERROR(N113/L113,0)</x:f>
        <x:v>0.6661367249602543</x:v>
      </x:c>
      <x:c r="P113" s="12" t="str">
        <x:v>배송완료</x:v>
      </x:c>
      <x:c r="Q113" s="12" t="str">
        <x:v>정하늘</x:v>
      </x:c>
    </x:row>
    <x:row r="114">
      <x:c r="A114" s="12" t="str">
        <x:v>ORD-2026-0113</x:v>
      </x:c>
      <x:c r="B114" s="13" t="n">
        <x:v>46164</x:v>
      </x:c>
      <x:c r="C114" s="12" t="str">
        <x:v>대한국제</x:v>
      </x:c>
      <x:c r="D114" s="12" t="str">
        <x:v>서울</x:v>
      </x:c>
      <x:c r="E114" s="12" t="str">
        <x:v>마켓플레이스</x:v>
      </x:c>
      <x:c r="F114" s="12" t="str">
        <x:v>NB-001</x:v>
      </x:c>
      <x:c r="G114" s="12" t="str">
        <x:v>NovaBook Air 14</x:v>
      </x:c>
      <x:c r="H114" s="12" t="str">
        <x:v>노트북</x:v>
      </x:c>
      <x:c r="I114" s="12" t="n">
        <x:v>7</x:v>
      </x:c>
      <x:c r="J114" s="15" t="n">
        <x:v>980000</x:v>
      </x:c>
      <x:c r="K114" s="17" t="n">
        <x:v>0</x:v>
      </x:c>
      <x:c r="L114" s="15" t="n">
        <x:f>I114*J114*(1-K114)</x:f>
        <x:v>6860000</x:v>
      </x:c>
      <x:c r="M114" s="15" t="n">
        <x:v>720000</x:v>
      </x:c>
      <x:c r="N114" s="15" t="n">
        <x:f>L114-(I114*M114)</x:f>
        <x:v>1820000</x:v>
      </x:c>
      <x:c r="O114" s="19" t="n">
        <x:f>IFERROR(N114/L114,0)</x:f>
        <x:v>0.2653061224489796</x:v>
      </x:c>
      <x:c r="P114" s="12" t="str">
        <x:v>배송완료</x:v>
      </x:c>
      <x:c r="Q114" s="12" t="str">
        <x:v>오세훈</x:v>
      </x:c>
    </x:row>
    <x:row r="115">
      <x:c r="A115" s="12" t="str">
        <x:v>ORD-2026-0114</x:v>
      </x:c>
      <x:c r="B115" s="13" t="n">
        <x:v>46150</x:v>
      </x:c>
      <x:c r="C115" s="12" t="str">
        <x:v>알파솔루션</x:v>
      </x:c>
      <x:c r="D115" s="12" t="str">
        <x:v>영남</x:v>
      </x:c>
      <x:c r="E115" s="12" t="str">
        <x:v>마켓플레이스</x:v>
      </x:c>
      <x:c r="F115" s="12" t="str">
        <x:v>MN-001</x:v>
      </x:c>
      <x:c r="G115" s="12" t="str">
        <x:v>Vision 27Q</x:v>
      </x:c>
      <x:c r="H115" s="12" t="str">
        <x:v>모니터</x:v>
      </x:c>
      <x:c r="I115" s="12" t="n">
        <x:v>5</x:v>
      </x:c>
      <x:c r="J115" s="15" t="n">
        <x:v>420000</x:v>
      </x:c>
      <x:c r="K115" s="17" t="n">
        <x:v>0.1</x:v>
      </x:c>
      <x:c r="L115" s="15" t="n">
        <x:f>I115*J115*(1-K115)</x:f>
        <x:v>1890000</x:v>
      </x:c>
      <x:c r="M115" s="15" t="n">
        <x:v>285000</x:v>
      </x:c>
      <x:c r="N115" s="15" t="n">
        <x:f>L115-(I115*M115)</x:f>
        <x:v>465000</x:v>
      </x:c>
      <x:c r="O115" s="19" t="n">
        <x:f>IFERROR(N115/L115,0)</x:f>
        <x:v>0.24603174603174602</x:v>
      </x:c>
      <x:c r="P115" s="12" t="str">
        <x:v>배송중</x:v>
      </x:c>
      <x:c r="Q115" s="12" t="str">
        <x:v>이서연</x:v>
      </x:c>
    </x:row>
    <x:row r="116">
      <x:c r="A116" s="12" t="str">
        <x:v>ORD-2026-0115</x:v>
      </x:c>
      <x:c r="B116" s="13" t="n">
        <x:v>46164</x:v>
      </x:c>
      <x:c r="C116" s="12" t="str">
        <x:v>대한국제</x:v>
      </x:c>
      <x:c r="D116" s="12" t="str">
        <x:v>호남</x:v>
      </x:c>
      <x:c r="E116" s="12" t="str">
        <x:v>오프라인</x:v>
      </x:c>
      <x:c r="F116" s="12" t="str">
        <x:v>SW-001</x:v>
      </x:c>
      <x:c r="G116" s="12" t="str">
        <x:v>Office Suite Annual</x:v>
      </x:c>
      <x:c r="H116" s="12" t="str">
        <x:v>소프트웨어</x:v>
      </x:c>
      <x:c r="I116" s="12" t="n">
        <x:v>3</x:v>
      </x:c>
      <x:c r="J116" s="15" t="n">
        <x:v>148000</x:v>
      </x:c>
      <x:c r="K116" s="17" t="n">
        <x:v>0.05</x:v>
      </x:c>
      <x:c r="L116" s="15" t="n">
        <x:f>I116*J116*(1-K116)</x:f>
        <x:v>421800</x:v>
      </x:c>
      <x:c r="M116" s="15" t="n">
        <x:v>42000</x:v>
      </x:c>
      <x:c r="N116" s="15" t="n">
        <x:f>L116-(I116*M116)</x:f>
        <x:v>295800</x:v>
      </x:c>
      <x:c r="O116" s="19" t="n">
        <x:f>IFERROR(N116/L116,0)</x:f>
        <x:v>0.701280227596017</x:v>
      </x:c>
      <x:c r="P116" s="12" t="str">
        <x:v>배송완료</x:v>
      </x:c>
      <x:c r="Q116" s="12" t="str">
        <x:v>박지훈</x:v>
      </x:c>
    </x:row>
    <x:row r="117">
      <x:c r="A117" s="12" t="str">
        <x:v>ORD-2026-0116</x:v>
      </x:c>
      <x:c r="B117" s="13" t="n">
        <x:v>46110</x:v>
      </x:c>
      <x:c r="C117" s="12" t="str">
        <x:v>한빛테크</x:v>
      </x:c>
      <x:c r="D117" s="12" t="str">
        <x:v>충청</x:v>
      </x:c>
      <x:c r="E117" s="12" t="str">
        <x:v>B2B</x:v>
      </x:c>
      <x:c r="F117" s="12" t="str">
        <x:v>AC-003</x:v>
      </x:c>
      <x:c r="G117" s="12" t="str">
        <x:v>USB-C Dock</x:v>
      </x:c>
      <x:c r="H117" s="12" t="str">
        <x:v>주변기기</x:v>
      </x:c>
      <x:c r="I117" s="12" t="n">
        <x:v>5</x:v>
      </x:c>
      <x:c r="J117" s="15" t="n">
        <x:v>189000</x:v>
      </x:c>
      <x:c r="K117" s="17" t="n">
        <x:v>0.2</x:v>
      </x:c>
      <x:c r="L117" s="15" t="n">
        <x:f>I117*J117*(1-K117)</x:f>
        <x:v>756000</x:v>
      </x:c>
      <x:c r="M117" s="15" t="n">
        <x:v>116000</x:v>
      </x:c>
      <x:c r="N117" s="15" t="n">
        <x:f>L117-(I117*M117)</x:f>
        <x:v>176000</x:v>
      </x:c>
      <x:c r="O117" s="19" t="n">
        <x:f>IFERROR(N117/L117,0)</x:f>
        <x:v>0.2328042328042328</x:v>
      </x:c>
      <x:c r="P117" s="12" t="str">
        <x:v>처리중</x:v>
      </x:c>
      <x:c r="Q117" s="12" t="str">
        <x:v>정하늘</x:v>
      </x:c>
    </x:row>
    <x:row r="118">
      <x:c r="A118" s="12" t="str">
        <x:v>ORD-2026-0117</x:v>
      </x:c>
      <x:c r="B118" s="13" t="n">
        <x:v>46061</x:v>
      </x:c>
      <x:c r="C118" s="12" t="str">
        <x:v>오로라랩</x:v>
      </x:c>
      <x:c r="D118" s="12" t="str">
        <x:v>충청</x:v>
      </x:c>
      <x:c r="E118" s="12" t="str">
        <x:v>B2B</x:v>
      </x:c>
      <x:c r="F118" s="12" t="str">
        <x:v>SW-001</x:v>
      </x:c>
      <x:c r="G118" s="12" t="str">
        <x:v>Office Suite Annual</x:v>
      </x:c>
      <x:c r="H118" s="12" t="str">
        <x:v>소프트웨어</x:v>
      </x:c>
      <x:c r="I118" s="12" t="n">
        <x:v>8</x:v>
      </x:c>
      <x:c r="J118" s="15" t="n">
        <x:v>148000</x:v>
      </x:c>
      <x:c r="K118" s="17" t="n">
        <x:v>0.1</x:v>
      </x:c>
      <x:c r="L118" s="15" t="n">
        <x:f>I118*J118*(1-K118)</x:f>
        <x:v>1065600</x:v>
      </x:c>
      <x:c r="M118" s="15" t="n">
        <x:v>42000</x:v>
      </x:c>
      <x:c r="N118" s="15" t="n">
        <x:f>L118-(I118*M118)</x:f>
        <x:v>729600</x:v>
      </x:c>
      <x:c r="O118" s="19" t="n">
        <x:f>IFERROR(N118/L118,0)</x:f>
        <x:v>0.6846846846846847</x:v>
      </x:c>
      <x:c r="P118" s="12" t="str">
        <x:v>처리중</x:v>
      </x:c>
      <x:c r="Q118" s="12" t="str">
        <x:v>정하늘</x:v>
      </x:c>
    </x:row>
    <x:row r="119">
      <x:c r="A119" s="12" t="str">
        <x:v>ORD-2026-0118</x:v>
      </x:c>
      <x:c r="B119" s="13" t="n">
        <x:v>46139</x:v>
      </x:c>
      <x:c r="C119" s="12" t="str">
        <x:v>대한국제</x:v>
      </x:c>
      <x:c r="D119" s="12" t="str">
        <x:v>강원</x:v>
      </x:c>
      <x:c r="E119" s="12" t="str">
        <x:v>오프라인</x:v>
      </x:c>
      <x:c r="F119" s="12" t="str">
        <x:v>AC-003</x:v>
      </x:c>
      <x:c r="G119" s="12" t="str">
        <x:v>USB-C Dock</x:v>
      </x:c>
      <x:c r="H119" s="12" t="str">
        <x:v>주변기기</x:v>
      </x:c>
      <x:c r="I119" s="12" t="n">
        <x:v>6</x:v>
      </x:c>
      <x:c r="J119" s="15" t="n">
        <x:v>189000</x:v>
      </x:c>
      <x:c r="K119" s="17" t="n">
        <x:v>0.2</x:v>
      </x:c>
      <x:c r="L119" s="15" t="n">
        <x:f>I119*J119*(1-K119)</x:f>
        <x:v>907200</x:v>
      </x:c>
      <x:c r="M119" s="15" t="n">
        <x:v>116000</x:v>
      </x:c>
      <x:c r="N119" s="15" t="n">
        <x:f>L119-(I119*M119)</x:f>
        <x:v>211200</x:v>
      </x:c>
      <x:c r="O119" s="19" t="n">
        <x:f>IFERROR(N119/L119,0)</x:f>
        <x:v>0.2328042328042328</x:v>
      </x:c>
      <x:c r="P119" s="12" t="str">
        <x:v>처리중</x:v>
      </x:c>
      <x:c r="Q119" s="12" t="str">
        <x:v>최유진</x:v>
      </x:c>
    </x:row>
    <x:row r="120">
      <x:c r="A120" s="12" t="str">
        <x:v>ORD-2026-0119</x:v>
      </x:c>
      <x:c r="B120" s="13" t="n">
        <x:v>46221</x:v>
      </x:c>
      <x:c r="C120" s="12" t="str">
        <x:v>서울디자인</x:v>
      </x:c>
      <x:c r="D120" s="12" t="str">
        <x:v>강원</x:v>
      </x:c>
      <x:c r="E120" s="12" t="str">
        <x:v>마켓플레이스</x:v>
      </x:c>
      <x:c r="F120" s="12" t="str">
        <x:v>MN-002</x:v>
      </x:c>
      <x:c r="G120" s="12" t="str">
        <x:v>Vision UltraWide 34</x:v>
      </x:c>
      <x:c r="H120" s="12" t="str">
        <x:v>모니터</x:v>
      </x:c>
      <x:c r="I120" s="12" t="n">
        <x:v>7</x:v>
      </x:c>
      <x:c r="J120" s="15" t="n">
        <x:v>710000</x:v>
      </x:c>
      <x:c r="K120" s="17" t="n">
        <x:v>0</x:v>
      </x:c>
      <x:c r="L120" s="15" t="n">
        <x:f>I120*J120*(1-K120)</x:f>
        <x:v>4970000</x:v>
      </x:c>
      <x:c r="M120" s="15" t="n">
        <x:v>505000</x:v>
      </x:c>
      <x:c r="N120" s="15" t="n">
        <x:f>L120-(I120*M120)</x:f>
        <x:v>1435000</x:v>
      </x:c>
      <x:c r="O120" s="19" t="n">
        <x:f>IFERROR(N120/L120,0)</x:f>
        <x:v>0.2887323943661972</x:v>
      </x:c>
      <x:c r="P120" s="12" t="str">
        <x:v>취소</x:v>
      </x:c>
      <x:c r="Q120" s="12" t="str">
        <x:v>최유진</x:v>
      </x:c>
    </x:row>
    <x:row r="121">
      <x:c r="A121" s="12" t="str">
        <x:v>ORD-2026-0120</x:v>
      </x:c>
      <x:c r="B121" s="13" t="n">
        <x:v>46192</x:v>
      </x:c>
      <x:c r="C121" s="12" t="str">
        <x:v>한빛테크</x:v>
      </x:c>
      <x:c r="D121" s="12" t="str">
        <x:v>경기</x:v>
      </x:c>
      <x:c r="E121" s="12" t="str">
        <x:v>B2B</x:v>
      </x:c>
      <x:c r="F121" s="12" t="str">
        <x:v>AC-003</x:v>
      </x:c>
      <x:c r="G121" s="12" t="str">
        <x:v>USB-C Dock</x:v>
      </x:c>
      <x:c r="H121" s="12" t="str">
        <x:v>주변기기</x:v>
      </x:c>
      <x:c r="I121" s="12" t="n">
        <x:v>3</x:v>
      </x:c>
      <x:c r="J121" s="15" t="n">
        <x:v>189000</x:v>
      </x:c>
      <x:c r="K121" s="17" t="n">
        <x:v>0.05</x:v>
      </x:c>
      <x:c r="L121" s="15" t="n">
        <x:f>I121*J121*(1-K121)</x:f>
        <x:v>538650</x:v>
      </x:c>
      <x:c r="M121" s="15" t="n">
        <x:v>116000</x:v>
      </x:c>
      <x:c r="N121" s="15" t="n">
        <x:f>L121-(I121*M121)</x:f>
        <x:v>190650</x:v>
      </x:c>
      <x:c r="O121" s="19" t="n">
        <x:f>IFERROR(N121/L121,0)</x:f>
        <x:v>0.3539404065719855</x:v>
      </x:c>
      <x:c r="P121" s="12" t="str">
        <x:v>배송완료</x:v>
      </x:c>
      <x:c r="Q121" s="12" t="str">
        <x:v>최유진</x:v>
      </x:c>
    </x:row>
    <x:row r="122">
      <x:c r="A122" s="12" t="str">
        <x:v>ORD-2026-0121</x:v>
      </x:c>
      <x:c r="B122" s="13" t="n">
        <x:v>46157</x:v>
      </x:c>
      <x:c r="C122" s="12" t="str">
        <x:v>세종연구소</x:v>
      </x:c>
      <x:c r="D122" s="12" t="str">
        <x:v>영남</x:v>
      </x:c>
      <x:c r="E122" s="12" t="str">
        <x:v>오프라인</x:v>
      </x:c>
      <x:c r="F122" s="12" t="str">
        <x:v>NB-002</x:v>
      </x:c>
      <x:c r="G122" s="12" t="str">
        <x:v>NovaBook Pro 16</x:v>
      </x:c>
      <x:c r="H122" s="12" t="str">
        <x:v>노트북</x:v>
      </x:c>
      <x:c r="I122" s="12" t="n">
        <x:v>8</x:v>
      </x:c>
      <x:c r="J122" s="15" t="n">
        <x:v>1680000</x:v>
      </x:c>
      <x:c r="K122" s="17" t="n">
        <x:v>0</x:v>
      </x:c>
      <x:c r="L122" s="15" t="n">
        <x:f>I122*J122*(1-K122)</x:f>
        <x:v>13440000</x:v>
      </x:c>
      <x:c r="M122" s="15" t="n">
        <x:v>1240000</x:v>
      </x:c>
      <x:c r="N122" s="15" t="n">
        <x:f>L122-(I122*M122)</x:f>
        <x:v>3520000</x:v>
      </x:c>
      <x:c r="O122" s="19" t="n">
        <x:f>IFERROR(N122/L122,0)</x:f>
        <x:v>0.2619047619047619</x:v>
      </x:c>
      <x:c r="P122" s="12" t="str">
        <x:v>배송완료</x:v>
      </x:c>
      <x:c r="Q122" s="12" t="str">
        <x:v>최유진</x:v>
      </x:c>
    </x:row>
    <x:row r="123">
      <x:c r="A123" s="12" t="str">
        <x:v>ORD-2026-0122</x:v>
      </x:c>
      <x:c r="B123" s="13" t="n">
        <x:v>46109</x:v>
      </x:c>
      <x:c r="C123" s="12" t="str">
        <x:v>미래상사</x:v>
      </x:c>
      <x:c r="D123" s="12" t="str">
        <x:v>충청</x:v>
      </x:c>
      <x:c r="E123" s="12" t="str">
        <x:v>마켓플레이스</x:v>
      </x:c>
      <x:c r="F123" s="12" t="str">
        <x:v>AC-001</x:v>
      </x:c>
      <x:c r="G123" s="12" t="str">
        <x:v>Mechanical Keyboard</x:v>
      </x:c>
      <x:c r="H123" s="12" t="str">
        <x:v>주변기기</x:v>
      </x:c>
      <x:c r="I123" s="12" t="n">
        <x:v>7</x:v>
      </x:c>
      <x:c r="J123" s="15" t="n">
        <x:v>129000</x:v>
      </x:c>
      <x:c r="K123" s="17" t="n">
        <x:v>0.15</x:v>
      </x:c>
      <x:c r="L123" s="15" t="n">
        <x:f>I123*J123*(1-K123)</x:f>
        <x:v>767550</x:v>
      </x:c>
      <x:c r="M123" s="15" t="n">
        <x:v>72000</x:v>
      </x:c>
      <x:c r="N123" s="15" t="n">
        <x:f>L123-(I123*M123)</x:f>
        <x:v>263550</x:v>
      </x:c>
      <x:c r="O123" s="19" t="n">
        <x:f>IFERROR(N123/L123,0)</x:f>
        <x:v>0.3433652530779754</x:v>
      </x:c>
      <x:c r="P123" s="12" t="str">
        <x:v>배송완료</x:v>
      </x:c>
      <x:c r="Q123" s="12" t="str">
        <x:v>오세훈</x:v>
      </x:c>
    </x:row>
    <x:row r="124">
      <x:c r="A124" s="12" t="str">
        <x:v>ORD-2026-0123</x:v>
      </x:c>
      <x:c r="B124" s="13" t="n">
        <x:v>46161</x:v>
      </x:c>
      <x:c r="C124" s="12" t="str">
        <x:v>미래상사</x:v>
      </x:c>
      <x:c r="D124" s="12" t="str">
        <x:v>경기</x:v>
      </x:c>
      <x:c r="E124" s="12" t="str">
        <x:v>B2B</x:v>
      </x:c>
      <x:c r="F124" s="12" t="str">
        <x:v>SW-001</x:v>
      </x:c>
      <x:c r="G124" s="12" t="str">
        <x:v>Office Suite Annual</x:v>
      </x:c>
      <x:c r="H124" s="12" t="str">
        <x:v>소프트웨어</x:v>
      </x:c>
      <x:c r="I124" s="12" t="n">
        <x:v>1</x:v>
      </x:c>
      <x:c r="J124" s="15" t="n">
        <x:v>148000</x:v>
      </x:c>
      <x:c r="K124" s="17" t="n">
        <x:v>0.1</x:v>
      </x:c>
      <x:c r="L124" s="15" t="n">
        <x:f>I124*J124*(1-K124)</x:f>
        <x:v>133200</x:v>
      </x:c>
      <x:c r="M124" s="15" t="n">
        <x:v>42000</x:v>
      </x:c>
      <x:c r="N124" s="15" t="n">
        <x:f>L124-(I124*M124)</x:f>
        <x:v>91200</x:v>
      </x:c>
      <x:c r="O124" s="19" t="n">
        <x:f>IFERROR(N124/L124,0)</x:f>
        <x:v>0.6846846846846847</x:v>
      </x:c>
      <x:c r="P124" s="12" t="str">
        <x:v>배송완료</x:v>
      </x:c>
      <x:c r="Q124" s="12" t="str">
        <x:v>오세훈</x:v>
      </x:c>
    </x:row>
    <x:row r="125">
      <x:c r="A125" s="12" t="str">
        <x:v>ORD-2026-0124</x:v>
      </x:c>
      <x:c r="B125" s="13" t="n">
        <x:v>46134</x:v>
      </x:c>
      <x:c r="C125" s="12" t="str">
        <x:v>미래상사</x:v>
      </x:c>
      <x:c r="D125" s="12" t="str">
        <x:v>영남</x:v>
      </x:c>
      <x:c r="E125" s="12" t="str">
        <x:v>오프라인</x:v>
      </x:c>
      <x:c r="F125" s="12" t="str">
        <x:v>NB-002</x:v>
      </x:c>
      <x:c r="G125" s="12" t="str">
        <x:v>NovaBook Pro 16</x:v>
      </x:c>
      <x:c r="H125" s="12" t="str">
        <x:v>노트북</x:v>
      </x:c>
      <x:c r="I125" s="12" t="n">
        <x:v>2</x:v>
      </x:c>
      <x:c r="J125" s="15" t="n">
        <x:v>1680000</x:v>
      </x:c>
      <x:c r="K125" s="17" t="n">
        <x:v>0.2</x:v>
      </x:c>
      <x:c r="L125" s="15" t="n">
        <x:f>I125*J125*(1-K125)</x:f>
        <x:v>2688000</x:v>
      </x:c>
      <x:c r="M125" s="15" t="n">
        <x:v>1240000</x:v>
      </x:c>
      <x:c r="N125" s="15" t="n">
        <x:f>L125-(I125*M125)</x:f>
        <x:v>208000</x:v>
      </x:c>
      <x:c r="O125" s="19" t="n">
        <x:f>IFERROR(N125/L125,0)</x:f>
        <x:v>0.07738095238095238</x:v>
      </x:c>
      <x:c r="P125" s="12" t="str">
        <x:v>취소</x:v>
      </x:c>
      <x:c r="Q125" s="12" t="str">
        <x:v>박지훈</x:v>
      </x:c>
    </x:row>
    <x:row r="126">
      <x:c r="A126" s="12" t="str">
        <x:v>ORD-2026-0125</x:v>
      </x:c>
      <x:c r="B126" s="13" t="n">
        <x:v>46034</x:v>
      </x:c>
      <x:c r="C126" s="12" t="str">
        <x:v>한빛테크</x:v>
      </x:c>
      <x:c r="D126" s="12" t="str">
        <x:v>충청</x:v>
      </x:c>
      <x:c r="E126" s="12" t="str">
        <x:v>B2B</x:v>
      </x:c>
      <x:c r="F126" s="12" t="str">
        <x:v>NB-001</x:v>
      </x:c>
      <x:c r="G126" s="12" t="str">
        <x:v>NovaBook Air 14</x:v>
      </x:c>
      <x:c r="H126" s="12" t="str">
        <x:v>노트북</x:v>
      </x:c>
      <x:c r="I126" s="12" t="n">
        <x:v>6</x:v>
      </x:c>
      <x:c r="J126" s="15" t="n">
        <x:v>980000</x:v>
      </x:c>
      <x:c r="K126" s="17" t="n">
        <x:v>0.2</x:v>
      </x:c>
      <x:c r="L126" s="15" t="n">
        <x:f>I126*J126*(1-K126)</x:f>
        <x:v>4704000</x:v>
      </x:c>
      <x:c r="M126" s="15" t="n">
        <x:v>720000</x:v>
      </x:c>
      <x:c r="N126" s="15" t="n">
        <x:f>L126-(I126*M126)</x:f>
        <x:v>384000</x:v>
      </x:c>
      <x:c r="O126" s="19" t="n">
        <x:f>IFERROR(N126/L126,0)</x:f>
        <x:v>0.08163265306122448</x:v>
      </x:c>
      <x:c r="P126" s="12" t="str">
        <x:v>배송완료</x:v>
      </x:c>
      <x:c r="Q126" s="12" t="str">
        <x:v>최유진</x:v>
      </x:c>
    </x:row>
    <x:row r="127">
      <x:c r="A127" s="12" t="str">
        <x:v>ORD-2026-0126</x:v>
      </x:c>
      <x:c r="B127" s="13" t="n">
        <x:v>46085</x:v>
      </x:c>
      <x:c r="C127" s="12" t="str">
        <x:v>세종연구소</x:v>
      </x:c>
      <x:c r="D127" s="12" t="str">
        <x:v>경기</x:v>
      </x:c>
      <x:c r="E127" s="12" t="str">
        <x:v>오프라인</x:v>
      </x:c>
      <x:c r="F127" s="12" t="str">
        <x:v>MN-001</x:v>
      </x:c>
      <x:c r="G127" s="12" t="str">
        <x:v>Vision 27Q</x:v>
      </x:c>
      <x:c r="H127" s="12" t="str">
        <x:v>모니터</x:v>
      </x:c>
      <x:c r="I127" s="12" t="n">
        <x:v>7</x:v>
      </x:c>
      <x:c r="J127" s="15" t="n">
        <x:v>420000</x:v>
      </x:c>
      <x:c r="K127" s="17" t="n">
        <x:v>0.1</x:v>
      </x:c>
      <x:c r="L127" s="15" t="n">
        <x:f>I127*J127*(1-K127)</x:f>
        <x:v>2646000</x:v>
      </x:c>
      <x:c r="M127" s="15" t="n">
        <x:v>285000</x:v>
      </x:c>
      <x:c r="N127" s="15" t="n">
        <x:f>L127-(I127*M127)</x:f>
        <x:v>651000</x:v>
      </x:c>
      <x:c r="O127" s="19" t="n">
        <x:f>IFERROR(N127/L127,0)</x:f>
        <x:v>0.24603174603174602</x:v>
      </x:c>
      <x:c r="P127" s="12" t="str">
        <x:v>배송완료</x:v>
      </x:c>
      <x:c r="Q127" s="12" t="str">
        <x:v>정하늘</x:v>
      </x:c>
    </x:row>
    <x:row r="128">
      <x:c r="A128" s="12" t="str">
        <x:v>ORD-2026-0127</x:v>
      </x:c>
      <x:c r="B128" s="13" t="n">
        <x:v>46181</x:v>
      </x:c>
      <x:c r="C128" s="12" t="str">
        <x:v>비전교육</x:v>
      </x:c>
      <x:c r="D128" s="12" t="str">
        <x:v>경기</x:v>
      </x:c>
      <x:c r="E128" s="12" t="str">
        <x:v>오프라인</x:v>
      </x:c>
      <x:c r="F128" s="12" t="str">
        <x:v>AC-003</x:v>
      </x:c>
      <x:c r="G128" s="12" t="str">
        <x:v>USB-C Dock</x:v>
      </x:c>
      <x:c r="H128" s="12" t="str">
        <x:v>주변기기</x:v>
      </x:c>
      <x:c r="I128" s="12" t="n">
        <x:v>4</x:v>
      </x:c>
      <x:c r="J128" s="15" t="n">
        <x:v>189000</x:v>
      </x:c>
      <x:c r="K128" s="17" t="n">
        <x:v>0.05</x:v>
      </x:c>
      <x:c r="L128" s="15" t="n">
        <x:f>I128*J128*(1-K128)</x:f>
        <x:v>718200</x:v>
      </x:c>
      <x:c r="M128" s="15" t="n">
        <x:v>116000</x:v>
      </x:c>
      <x:c r="N128" s="15" t="n">
        <x:f>L128-(I128*M128)</x:f>
        <x:v>254200</x:v>
      </x:c>
      <x:c r="O128" s="19" t="n">
        <x:f>IFERROR(N128/L128,0)</x:f>
        <x:v>0.3539404065719855</x:v>
      </x:c>
      <x:c r="P128" s="12" t="str">
        <x:v>배송중</x:v>
      </x:c>
      <x:c r="Q128" s="12" t="str">
        <x:v>오세훈</x:v>
      </x:c>
    </x:row>
    <x:row r="129">
      <x:c r="A129" s="12" t="str">
        <x:v>ORD-2026-0128</x:v>
      </x:c>
      <x:c r="B129" s="13" t="n">
        <x:v>46140</x:v>
      </x:c>
      <x:c r="C129" s="12" t="str">
        <x:v>한빛테크</x:v>
      </x:c>
      <x:c r="D129" s="12" t="str">
        <x:v>영남</x:v>
      </x:c>
      <x:c r="E129" s="12" t="str">
        <x:v>B2B</x:v>
      </x:c>
      <x:c r="F129" s="12" t="str">
        <x:v>AC-001</x:v>
      </x:c>
      <x:c r="G129" s="12" t="str">
        <x:v>Mechanical Keyboard</x:v>
      </x:c>
      <x:c r="H129" s="12" t="str">
        <x:v>주변기기</x:v>
      </x:c>
      <x:c r="I129" s="12" t="n">
        <x:v>5</x:v>
      </x:c>
      <x:c r="J129" s="15" t="n">
        <x:v>129000</x:v>
      </x:c>
      <x:c r="K129" s="17" t="n">
        <x:v>0.15</x:v>
      </x:c>
      <x:c r="L129" s="15" t="n">
        <x:f>I129*J129*(1-K129)</x:f>
        <x:v>548250</x:v>
      </x:c>
      <x:c r="M129" s="15" t="n">
        <x:v>72000</x:v>
      </x:c>
      <x:c r="N129" s="15" t="n">
        <x:f>L129-(I129*M129)</x:f>
        <x:v>188250</x:v>
      </x:c>
      <x:c r="O129" s="19" t="n">
        <x:f>IFERROR(N129/L129,0)</x:f>
        <x:v>0.3433652530779754</x:v>
      </x:c>
      <x:c r="P129" s="12" t="str">
        <x:v>취소</x:v>
      </x:c>
      <x:c r="Q129" s="12" t="str">
        <x:v>정하늘</x:v>
      </x:c>
    </x:row>
    <x:row r="130">
      <x:c r="A130" s="12" t="str">
        <x:v>ORD-2026-0129</x:v>
      </x:c>
      <x:c r="B130" s="13" t="n">
        <x:v>46041</x:v>
      </x:c>
      <x:c r="C130" s="12" t="str">
        <x:v>비전교육</x:v>
      </x:c>
      <x:c r="D130" s="12" t="str">
        <x:v>충청</x:v>
      </x:c>
      <x:c r="E130" s="12" t="str">
        <x:v>마켓플레이스</x:v>
      </x:c>
      <x:c r="F130" s="12" t="str">
        <x:v>MN-001</x:v>
      </x:c>
      <x:c r="G130" s="12" t="str">
        <x:v>Vision 27Q</x:v>
      </x:c>
      <x:c r="H130" s="12" t="str">
        <x:v>모니터</x:v>
      </x:c>
      <x:c r="I130" s="12" t="n">
        <x:v>8</x:v>
      </x:c>
      <x:c r="J130" s="15" t="n">
        <x:v>420000</x:v>
      </x:c>
      <x:c r="K130" s="17" t="n">
        <x:v>0.03</x:v>
      </x:c>
      <x:c r="L130" s="15" t="n">
        <x:f>I130*J130*(1-K130)</x:f>
        <x:v>3259200</x:v>
      </x:c>
      <x:c r="M130" s="15" t="n">
        <x:v>285000</x:v>
      </x:c>
      <x:c r="N130" s="15" t="n">
        <x:f>L130-(I130*M130)</x:f>
        <x:v>979200</x:v>
      </x:c>
      <x:c r="O130" s="19" t="n">
        <x:f>IFERROR(N130/L130,0)</x:f>
        <x:v>0.3004418262150221</x:v>
      </x:c>
      <x:c r="P130" s="12" t="str">
        <x:v>취소</x:v>
      </x:c>
      <x:c r="Q130" s="12" t="str">
        <x:v>박지훈</x:v>
      </x:c>
    </x:row>
    <x:row r="131">
      <x:c r="A131" s="12" t="str">
        <x:v>ORD-2026-0130</x:v>
      </x:c>
      <x:c r="B131" s="13" t="n">
        <x:v>46100</x:v>
      </x:c>
      <x:c r="C131" s="12" t="str">
        <x:v>오로라랩</x:v>
      </x:c>
      <x:c r="D131" s="12" t="str">
        <x:v>서울</x:v>
      </x:c>
      <x:c r="E131" s="12" t="str">
        <x:v>오프라인</x:v>
      </x:c>
      <x:c r="F131" s="12" t="str">
        <x:v>SW-001</x:v>
      </x:c>
      <x:c r="G131" s="12" t="str">
        <x:v>Office Suite Annual</x:v>
      </x:c>
      <x:c r="H131" s="12" t="str">
        <x:v>소프트웨어</x:v>
      </x:c>
      <x:c r="I131" s="12" t="n">
        <x:v>4</x:v>
      </x:c>
      <x:c r="J131" s="15" t="n">
        <x:v>148000</x:v>
      </x:c>
      <x:c r="K131" s="17" t="n">
        <x:v>0.05</x:v>
      </x:c>
      <x:c r="L131" s="15" t="n">
        <x:f>I131*J131*(1-K131)</x:f>
        <x:v>562400</x:v>
      </x:c>
      <x:c r="M131" s="15" t="n">
        <x:v>42000</x:v>
      </x:c>
      <x:c r="N131" s="15" t="n">
        <x:f>L131-(I131*M131)</x:f>
        <x:v>394400</x:v>
      </x:c>
      <x:c r="O131" s="19" t="n">
        <x:f>IFERROR(N131/L131,0)</x:f>
        <x:v>0.701280227596017</x:v>
      </x:c>
      <x:c r="P131" s="12" t="str">
        <x:v>배송중</x:v>
      </x:c>
      <x:c r="Q131" s="12" t="str">
        <x:v>정하늘</x:v>
      </x:c>
    </x:row>
    <x:row r="132">
      <x:c r="A132" s="12" t="str">
        <x:v>ORD-2026-0131</x:v>
      </x:c>
      <x:c r="B132" s="13" t="n">
        <x:v>46170</x:v>
      </x:c>
      <x:c r="C132" s="12" t="str">
        <x:v>알파솔루션</x:v>
      </x:c>
      <x:c r="D132" s="12" t="str">
        <x:v>서울</x:v>
      </x:c>
      <x:c r="E132" s="12" t="str">
        <x:v>마켓플레이스</x:v>
      </x:c>
      <x:c r="F132" s="12" t="str">
        <x:v>AC-002</x:v>
      </x:c>
      <x:c r="G132" s="12" t="str">
        <x:v>Wireless Mouse</x:v>
      </x:c>
      <x:c r="H132" s="12" t="str">
        <x:v>주변기기</x:v>
      </x:c>
      <x:c r="I132" s="12" t="n">
        <x:v>5</x:v>
      </x:c>
      <x:c r="J132" s="15" t="n">
        <x:v>69000</x:v>
      </x:c>
      <x:c r="K132" s="17" t="n">
        <x:v>0.15</x:v>
      </x:c>
      <x:c r="L132" s="15" t="n">
        <x:f>I132*J132*(1-K132)</x:f>
        <x:v>293250</x:v>
      </x:c>
      <x:c r="M132" s="15" t="n">
        <x:v>35000</x:v>
      </x:c>
      <x:c r="N132" s="15" t="n">
        <x:f>L132-(I132*M132)</x:f>
        <x:v>118250</x:v>
      </x:c>
      <x:c r="O132" s="19" t="n">
        <x:f>IFERROR(N132/L132,0)</x:f>
        <x:v>0.4032395566922421</x:v>
      </x:c>
      <x:c r="P132" s="12" t="str">
        <x:v>배송완료</x:v>
      </x:c>
      <x:c r="Q132" s="12" t="str">
        <x:v>김민준</x:v>
      </x:c>
    </x:row>
    <x:row r="133">
      <x:c r="A133" s="12" t="str">
        <x:v>ORD-2026-0132</x:v>
      </x:c>
      <x:c r="B133" s="13" t="n">
        <x:v>46198</x:v>
      </x:c>
      <x:c r="C133" s="12" t="str">
        <x:v>오로라랩</x:v>
      </x:c>
      <x:c r="D133" s="12" t="str">
        <x:v>충청</x:v>
      </x:c>
      <x:c r="E133" s="12" t="str">
        <x:v>오프라인</x:v>
      </x:c>
      <x:c r="F133" s="12" t="str">
        <x:v>SV-002</x:v>
      </x:c>
      <x:c r="G133" s="12" t="str">
        <x:v>GPU Server G2</x:v>
      </x:c>
      <x:c r="H133" s="12" t="str">
        <x:v>서버</x:v>
      </x:c>
      <x:c r="I133" s="12" t="n">
        <x:v>1</x:v>
      </x:c>
      <x:c r="J133" s="15" t="n">
        <x:v>11800000</x:v>
      </x:c>
      <x:c r="K133" s="17" t="n">
        <x:v>0.1</x:v>
      </x:c>
      <x:c r="L133" s="15" t="n">
        <x:f>I133*J133*(1-K133)</x:f>
        <x:v>10620000</x:v>
      </x:c>
      <x:c r="M133" s="15" t="n">
        <x:v>9740000</x:v>
      </x:c>
      <x:c r="N133" s="15" t="n">
        <x:f>L133-(I133*M133)</x:f>
        <x:v>880000</x:v>
      </x:c>
      <x:c r="O133" s="19" t="n">
        <x:f>IFERROR(N133/L133,0)</x:f>
        <x:v>0.08286252354048965</x:v>
      </x:c>
      <x:c r="P133" s="12" t="str">
        <x:v>처리중</x:v>
      </x:c>
      <x:c r="Q133" s="12" t="str">
        <x:v>박지훈</x:v>
      </x:c>
    </x:row>
    <x:row r="134">
      <x:c r="A134" s="12" t="str">
        <x:v>ORD-2026-0133</x:v>
      </x:c>
      <x:c r="B134" s="13" t="n">
        <x:v>46185</x:v>
      </x:c>
      <x:c r="C134" s="12" t="str">
        <x:v>알파솔루션</x:v>
      </x:c>
      <x:c r="D134" s="12" t="str">
        <x:v>강원</x:v>
      </x:c>
      <x:c r="E134" s="12" t="str">
        <x:v>오프라인</x:v>
      </x:c>
      <x:c r="F134" s="12" t="str">
        <x:v>MN-002</x:v>
      </x:c>
      <x:c r="G134" s="12" t="str">
        <x:v>Vision UltraWide 34</x:v>
      </x:c>
      <x:c r="H134" s="12" t="str">
        <x:v>모니터</x:v>
      </x:c>
      <x:c r="I134" s="12" t="n">
        <x:v>4</x:v>
      </x:c>
      <x:c r="J134" s="15" t="n">
        <x:v>710000</x:v>
      </x:c>
      <x:c r="K134" s="17" t="n">
        <x:v>0.1</x:v>
      </x:c>
      <x:c r="L134" s="15" t="n">
        <x:f>I134*J134*(1-K134)</x:f>
        <x:v>2556000</x:v>
      </x:c>
      <x:c r="M134" s="15" t="n">
        <x:v>505000</x:v>
      </x:c>
      <x:c r="N134" s="15" t="n">
        <x:f>L134-(I134*M134)</x:f>
        <x:v>536000</x:v>
      </x:c>
      <x:c r="O134" s="19" t="n">
        <x:f>IFERROR(N134/L134,0)</x:f>
        <x:v>0.20970266040688576</x:v>
      </x:c>
      <x:c r="P134" s="12" t="str">
        <x:v>취소</x:v>
      </x:c>
      <x:c r="Q134" s="12" t="str">
        <x:v>김민준</x:v>
      </x:c>
    </x:row>
    <x:row r="135">
      <x:c r="A135" s="12" t="str">
        <x:v>ORD-2026-0134</x:v>
      </x:c>
      <x:c r="B135" s="13" t="n">
        <x:v>46102</x:v>
      </x:c>
      <x:c r="C135" s="12" t="str">
        <x:v>비전교육</x:v>
      </x:c>
      <x:c r="D135" s="12" t="str">
        <x:v>충청</x:v>
      </x:c>
      <x:c r="E135" s="12" t="str">
        <x:v>오프라인</x:v>
      </x:c>
      <x:c r="F135" s="12" t="str">
        <x:v>NB-001</x:v>
      </x:c>
      <x:c r="G135" s="12" t="str">
        <x:v>NovaBook Air 14</x:v>
      </x:c>
      <x:c r="H135" s="12" t="str">
        <x:v>노트북</x:v>
      </x:c>
      <x:c r="I135" s="12" t="n">
        <x:v>8</x:v>
      </x:c>
      <x:c r="J135" s="15" t="n">
        <x:v>980000</x:v>
      </x:c>
      <x:c r="K135" s="17" t="n">
        <x:v>0</x:v>
      </x:c>
      <x:c r="L135" s="15" t="n">
        <x:f>I135*J135*(1-K135)</x:f>
        <x:v>7840000</x:v>
      </x:c>
      <x:c r="M135" s="15" t="n">
        <x:v>720000</x:v>
      </x:c>
      <x:c r="N135" s="15" t="n">
        <x:f>L135-(I135*M135)</x:f>
        <x:v>2080000</x:v>
      </x:c>
      <x:c r="O135" s="19" t="n">
        <x:f>IFERROR(N135/L135,0)</x:f>
        <x:v>0.2653061224489796</x:v>
      </x:c>
      <x:c r="P135" s="12" t="str">
        <x:v>배송완료</x:v>
      </x:c>
      <x:c r="Q135" s="12" t="str">
        <x:v>박지훈</x:v>
      </x:c>
    </x:row>
    <x:row r="136">
      <x:c r="A136" s="12" t="str">
        <x:v>ORD-2026-0135</x:v>
      </x:c>
      <x:c r="B136" s="13" t="n">
        <x:v>46214</x:v>
      </x:c>
      <x:c r="C136" s="12" t="str">
        <x:v>대한국제</x:v>
      </x:c>
      <x:c r="D136" s="12" t="str">
        <x:v>경기</x:v>
      </x:c>
      <x:c r="E136" s="12" t="str">
        <x:v>B2B</x:v>
      </x:c>
      <x:c r="F136" s="12" t="str">
        <x:v>AC-002</x:v>
      </x:c>
      <x:c r="G136" s="12" t="str">
        <x:v>Wireless Mouse</x:v>
      </x:c>
      <x:c r="H136" s="12" t="str">
        <x:v>주변기기</x:v>
      </x:c>
      <x:c r="I136" s="12" t="n">
        <x:v>7</x:v>
      </x:c>
      <x:c r="J136" s="15" t="n">
        <x:v>69000</x:v>
      </x:c>
      <x:c r="K136" s="17" t="n">
        <x:v>0</x:v>
      </x:c>
      <x:c r="L136" s="15" t="n">
        <x:f>I136*J136*(1-K136)</x:f>
        <x:v>483000</x:v>
      </x:c>
      <x:c r="M136" s="15" t="n">
        <x:v>35000</x:v>
      </x:c>
      <x:c r="N136" s="15" t="n">
        <x:f>L136-(I136*M136)</x:f>
        <x:v>238000</x:v>
      </x:c>
      <x:c r="O136" s="19" t="n">
        <x:f>IFERROR(N136/L136,0)</x:f>
        <x:v>0.4927536231884058</x:v>
      </x:c>
      <x:c r="P136" s="12" t="str">
        <x:v>처리중</x:v>
      </x:c>
      <x:c r="Q136" s="12" t="str">
        <x:v>정하늘</x:v>
      </x:c>
    </x:row>
    <x:row r="137">
      <x:c r="A137" s="12" t="str">
        <x:v>ORD-2026-0136</x:v>
      </x:c>
      <x:c r="B137" s="13" t="n">
        <x:v>46065</x:v>
      </x:c>
      <x:c r="C137" s="12" t="str">
        <x:v>오로라랩</x:v>
      </x:c>
      <x:c r="D137" s="12" t="str">
        <x:v>충청</x:v>
      </x:c>
      <x:c r="E137" s="12" t="str">
        <x:v>B2B</x:v>
      </x:c>
      <x:c r="F137" s="12" t="str">
        <x:v>AC-001</x:v>
      </x:c>
      <x:c r="G137" s="12" t="str">
        <x:v>Mechanical Keyboard</x:v>
      </x:c>
      <x:c r="H137" s="12" t="str">
        <x:v>주변기기</x:v>
      </x:c>
      <x:c r="I137" s="12" t="n">
        <x:v>5</x:v>
      </x:c>
      <x:c r="J137" s="15" t="n">
        <x:v>129000</x:v>
      </x:c>
      <x:c r="K137" s="17" t="n">
        <x:v>0.2</x:v>
      </x:c>
      <x:c r="L137" s="15" t="n">
        <x:f>I137*J137*(1-K137)</x:f>
        <x:v>516000</x:v>
      </x:c>
      <x:c r="M137" s="15" t="n">
        <x:v>72000</x:v>
      </x:c>
      <x:c r="N137" s="15" t="n">
        <x:f>L137-(I137*M137)</x:f>
        <x:v>156000</x:v>
      </x:c>
      <x:c r="O137" s="19" t="n">
        <x:f>IFERROR(N137/L137,0)</x:f>
        <x:v>0.3023255813953488</x:v>
      </x:c>
      <x:c r="P137" s="12" t="str">
        <x:v>배송완료</x:v>
      </x:c>
      <x:c r="Q137" s="12" t="str">
        <x:v>최유진</x:v>
      </x:c>
    </x:row>
    <x:row r="138">
      <x:c r="A138" s="12" t="str">
        <x:v>ORD-2026-0137</x:v>
      </x:c>
      <x:c r="B138" s="13" t="n">
        <x:v>46059</x:v>
      </x:c>
      <x:c r="C138" s="12" t="str">
        <x:v>그린물류</x:v>
      </x:c>
      <x:c r="D138" s="12" t="str">
        <x:v>호남</x:v>
      </x:c>
      <x:c r="E138" s="12" t="str">
        <x:v>B2B</x:v>
      </x:c>
      <x:c r="F138" s="12" t="str">
        <x:v>NB-002</x:v>
      </x:c>
      <x:c r="G138" s="12" t="str">
        <x:v>NovaBook Pro 16</x:v>
      </x:c>
      <x:c r="H138" s="12" t="str">
        <x:v>노트북</x:v>
      </x:c>
      <x:c r="I138" s="12" t="n">
        <x:v>4</x:v>
      </x:c>
      <x:c r="J138" s="15" t="n">
        <x:v>1680000</x:v>
      </x:c>
      <x:c r="K138" s="17" t="n">
        <x:v>0.2</x:v>
      </x:c>
      <x:c r="L138" s="15" t="n">
        <x:f>I138*J138*(1-K138)</x:f>
        <x:v>5376000</x:v>
      </x:c>
      <x:c r="M138" s="15" t="n">
        <x:v>1240000</x:v>
      </x:c>
      <x:c r="N138" s="15" t="n">
        <x:f>L138-(I138*M138)</x:f>
        <x:v>416000</x:v>
      </x:c>
      <x:c r="O138" s="19" t="n">
        <x:f>IFERROR(N138/L138,0)</x:f>
        <x:v>0.07738095238095238</x:v>
      </x:c>
      <x:c r="P138" s="12" t="str">
        <x:v>배송완료</x:v>
      </x:c>
      <x:c r="Q138" s="12" t="str">
        <x:v>최유진</x:v>
      </x:c>
    </x:row>
    <x:row r="139">
      <x:c r="A139" s="12" t="str">
        <x:v>ORD-2026-0138</x:v>
      </x:c>
      <x:c r="B139" s="13" t="n">
        <x:v>46090</x:v>
      </x:c>
      <x:c r="C139" s="12" t="str">
        <x:v>서울디자인</x:v>
      </x:c>
      <x:c r="D139" s="12" t="str">
        <x:v>강원</x:v>
      </x:c>
      <x:c r="E139" s="12" t="str">
        <x:v>B2B</x:v>
      </x:c>
      <x:c r="F139" s="12" t="str">
        <x:v>NB-001</x:v>
      </x:c>
      <x:c r="G139" s="12" t="str">
        <x:v>NovaBook Air 14</x:v>
      </x:c>
      <x:c r="H139" s="12" t="str">
        <x:v>노트북</x:v>
      </x:c>
      <x:c r="I139" s="12" t="n">
        <x:v>2</x:v>
      </x:c>
      <x:c r="J139" s="15" t="n">
        <x:v>980000</x:v>
      </x:c>
      <x:c r="K139" s="17" t="n">
        <x:v>0.05</x:v>
      </x:c>
      <x:c r="L139" s="15" t="n">
        <x:f>I139*J139*(1-K139)</x:f>
        <x:v>1862000</x:v>
      </x:c>
      <x:c r="M139" s="15" t="n">
        <x:v>720000</x:v>
      </x:c>
      <x:c r="N139" s="15" t="n">
        <x:f>L139-(I139*M139)</x:f>
        <x:v>422000</x:v>
      </x:c>
      <x:c r="O139" s="19" t="n">
        <x:f>IFERROR(N139/L139,0)</x:f>
        <x:v>0.22663802363050484</x:v>
      </x:c>
      <x:c r="P139" s="12" t="str">
        <x:v>처리중</x:v>
      </x:c>
      <x:c r="Q139" s="12" t="str">
        <x:v>최유진</x:v>
      </x:c>
    </x:row>
    <x:row r="140">
      <x:c r="A140" s="12" t="str">
        <x:v>ORD-2026-0139</x:v>
      </x:c>
      <x:c r="B140" s="13" t="n">
        <x:v>46050</x:v>
      </x:c>
      <x:c r="C140" s="12" t="str">
        <x:v>한빛테크</x:v>
      </x:c>
      <x:c r="D140" s="12" t="str">
        <x:v>호남</x:v>
      </x:c>
      <x:c r="E140" s="12" t="str">
        <x:v>B2B</x:v>
      </x:c>
      <x:c r="F140" s="12" t="str">
        <x:v>AC-002</x:v>
      </x:c>
      <x:c r="G140" s="12" t="str">
        <x:v>Wireless Mouse</x:v>
      </x:c>
      <x:c r="H140" s="12" t="str">
        <x:v>주변기기</x:v>
      </x:c>
      <x:c r="I140" s="12" t="n">
        <x:v>4</x:v>
      </x:c>
      <x:c r="J140" s="15" t="n">
        <x:v>69000</x:v>
      </x:c>
      <x:c r="K140" s="17" t="n">
        <x:v>0.05</x:v>
      </x:c>
      <x:c r="L140" s="15" t="n">
        <x:f>I140*J140*(1-K140)</x:f>
        <x:v>262200</x:v>
      </x:c>
      <x:c r="M140" s="15" t="n">
        <x:v>35000</x:v>
      </x:c>
      <x:c r="N140" s="15" t="n">
        <x:f>L140-(I140*M140)</x:f>
        <x:v>122200</x:v>
      </x:c>
      <x:c r="O140" s="19" t="n">
        <x:f>IFERROR(N140/L140,0)</x:f>
        <x:v>0.4660564454614798</x:v>
      </x:c>
      <x:c r="P140" s="12" t="str">
        <x:v>처리중</x:v>
      </x:c>
      <x:c r="Q140" s="12" t="str">
        <x:v>이서연</x:v>
      </x:c>
    </x:row>
    <x:row r="141">
      <x:c r="A141" s="12" t="str">
        <x:v>ORD-2026-0140</x:v>
      </x:c>
      <x:c r="B141" s="13" t="n">
        <x:v>46185</x:v>
      </x:c>
      <x:c r="C141" s="12" t="str">
        <x:v>알파솔루션</x:v>
      </x:c>
      <x:c r="D141" s="12" t="str">
        <x:v>강원</x:v>
      </x:c>
      <x:c r="E141" s="12" t="str">
        <x:v>마켓플레이스</x:v>
      </x:c>
      <x:c r="F141" s="12" t="str">
        <x:v>NB-002</x:v>
      </x:c>
      <x:c r="G141" s="12" t="str">
        <x:v>NovaBook Pro 16</x:v>
      </x:c>
      <x:c r="H141" s="12" t="str">
        <x:v>노트북</x:v>
      </x:c>
      <x:c r="I141" s="12" t="n">
        <x:v>8</x:v>
      </x:c>
      <x:c r="J141" s="15" t="n">
        <x:v>1680000</x:v>
      </x:c>
      <x:c r="K141" s="17" t="n">
        <x:v>0.15</x:v>
      </x:c>
      <x:c r="L141" s="15" t="n">
        <x:f>I141*J141*(1-K141)</x:f>
        <x:v>11424000</x:v>
      </x:c>
      <x:c r="M141" s="15" t="n">
        <x:v>1240000</x:v>
      </x:c>
      <x:c r="N141" s="15" t="n">
        <x:f>L141-(I141*M141)</x:f>
        <x:v>1504000</x:v>
      </x:c>
      <x:c r="O141" s="19" t="n">
        <x:f>IFERROR(N141/L141,0)</x:f>
        <x:v>0.13165266106442577</x:v>
      </x:c>
      <x:c r="P141" s="12" t="str">
        <x:v>배송완료</x:v>
      </x:c>
      <x:c r="Q141" s="12" t="str">
        <x:v>이서연</x:v>
      </x:c>
    </x:row>
    <x:row r="142">
      <x:c r="A142" s="12" t="str">
        <x:v>ORD-2026-0141</x:v>
      </x:c>
      <x:c r="B142" s="13" t="n">
        <x:v>46032</x:v>
      </x:c>
      <x:c r="C142" s="12" t="str">
        <x:v>미래상사</x:v>
      </x:c>
      <x:c r="D142" s="12" t="str">
        <x:v>서울</x:v>
      </x:c>
      <x:c r="E142" s="12" t="str">
        <x:v>오프라인</x:v>
      </x:c>
      <x:c r="F142" s="12" t="str">
        <x:v>NB-001</x:v>
      </x:c>
      <x:c r="G142" s="12" t="str">
        <x:v>NovaBook Air 14</x:v>
      </x:c>
      <x:c r="H142" s="12" t="str">
        <x:v>노트북</x:v>
      </x:c>
      <x:c r="I142" s="12" t="n">
        <x:v>5</x:v>
      </x:c>
      <x:c r="J142" s="15" t="n">
        <x:v>980000</x:v>
      </x:c>
      <x:c r="K142" s="17" t="n">
        <x:v>0.05</x:v>
      </x:c>
      <x:c r="L142" s="15" t="n">
        <x:f>I142*J142*(1-K142)</x:f>
        <x:v>4655000</x:v>
      </x:c>
      <x:c r="M142" s="15" t="n">
        <x:v>720000</x:v>
      </x:c>
      <x:c r="N142" s="15" t="n">
        <x:f>L142-(I142*M142)</x:f>
        <x:v>1055000</x:v>
      </x:c>
      <x:c r="O142" s="19" t="n">
        <x:f>IFERROR(N142/L142,0)</x:f>
        <x:v>0.22663802363050484</x:v>
      </x:c>
      <x:c r="P142" s="12" t="str">
        <x:v>처리중</x:v>
      </x:c>
      <x:c r="Q142" s="12" t="str">
        <x:v>이서연</x:v>
      </x:c>
    </x:row>
    <x:row r="143">
      <x:c r="A143" s="12" t="str">
        <x:v>ORD-2026-0142</x:v>
      </x:c>
      <x:c r="B143" s="13" t="n">
        <x:v>46139</x:v>
      </x:c>
      <x:c r="C143" s="12" t="str">
        <x:v>스마트팩토리</x:v>
      </x:c>
      <x:c r="D143" s="12" t="str">
        <x:v>영남</x:v>
      </x:c>
      <x:c r="E143" s="12" t="str">
        <x:v>오프라인</x:v>
      </x:c>
      <x:c r="F143" s="12" t="str">
        <x:v>AC-003</x:v>
      </x:c>
      <x:c r="G143" s="12" t="str">
        <x:v>USB-C Dock</x:v>
      </x:c>
      <x:c r="H143" s="12" t="str">
        <x:v>주변기기</x:v>
      </x:c>
      <x:c r="I143" s="12" t="n">
        <x:v>6</x:v>
      </x:c>
      <x:c r="J143" s="15" t="n">
        <x:v>189000</x:v>
      </x:c>
      <x:c r="K143" s="17" t="n">
        <x:v>0.15</x:v>
      </x:c>
      <x:c r="L143" s="15" t="n">
        <x:f>I143*J143*(1-K143)</x:f>
        <x:v>963900</x:v>
      </x:c>
      <x:c r="M143" s="15" t="n">
        <x:v>116000</x:v>
      </x:c>
      <x:c r="N143" s="15" t="n">
        <x:f>L143-(I143*M143)</x:f>
        <x:v>267900</x:v>
      </x:c>
      <x:c r="O143" s="19" t="n">
        <x:f>IFERROR(N143/L143,0)</x:f>
        <x:v>0.2779333955804544</x:v>
      </x:c>
      <x:c r="P143" s="12" t="str">
        <x:v>배송중</x:v>
      </x:c>
      <x:c r="Q143" s="12" t="str">
        <x:v>오세훈</x:v>
      </x:c>
    </x:row>
    <x:row r="144">
      <x:c r="A144" s="12" t="str">
        <x:v>ORD-2026-0143</x:v>
      </x:c>
      <x:c r="B144" s="13" t="n">
        <x:v>46148</x:v>
      </x:c>
      <x:c r="C144" s="12" t="str">
        <x:v>한빛테크</x:v>
      </x:c>
      <x:c r="D144" s="12" t="str">
        <x:v>강원</x:v>
      </x:c>
      <x:c r="E144" s="12" t="str">
        <x:v>B2B</x:v>
      </x:c>
      <x:c r="F144" s="12" t="str">
        <x:v>NB-002</x:v>
      </x:c>
      <x:c r="G144" s="12" t="str">
        <x:v>NovaBook Pro 16</x:v>
      </x:c>
      <x:c r="H144" s="12" t="str">
        <x:v>노트북</x:v>
      </x:c>
      <x:c r="I144" s="12" t="n">
        <x:v>7</x:v>
      </x:c>
      <x:c r="J144" s="15" t="n">
        <x:v>1680000</x:v>
      </x:c>
      <x:c r="K144" s="17" t="n">
        <x:v>0.03</x:v>
      </x:c>
      <x:c r="L144" s="15" t="n">
        <x:f>I144*J144*(1-K144)</x:f>
        <x:v>11407200</x:v>
      </x:c>
      <x:c r="M144" s="15" t="n">
        <x:v>1240000</x:v>
      </x:c>
      <x:c r="N144" s="15" t="n">
        <x:f>L144-(I144*M144)</x:f>
        <x:v>2727200</x:v>
      </x:c>
      <x:c r="O144" s="19" t="n">
        <x:f>IFERROR(N144/L144,0)</x:f>
        <x:v>0.23907707412862053</x:v>
      </x:c>
      <x:c r="P144" s="12" t="str">
        <x:v>배송완료</x:v>
      </x:c>
      <x:c r="Q144" s="12" t="str">
        <x:v>최유진</x:v>
      </x:c>
    </x:row>
    <x:row r="145">
      <x:c r="A145" s="12" t="str">
        <x:v>ORD-2026-0144</x:v>
      </x:c>
      <x:c r="B145" s="13" t="n">
        <x:v>46083</x:v>
      </x:c>
      <x:c r="C145" s="12" t="str">
        <x:v>서울디자인</x:v>
      </x:c>
      <x:c r="D145" s="12" t="str">
        <x:v>호남</x:v>
      </x:c>
      <x:c r="E145" s="12" t="str">
        <x:v>B2B</x:v>
      </x:c>
      <x:c r="F145" s="12" t="str">
        <x:v>SW-001</x:v>
      </x:c>
      <x:c r="G145" s="12" t="str">
        <x:v>Office Suite Annual</x:v>
      </x:c>
      <x:c r="H145" s="12" t="str">
        <x:v>소프트웨어</x:v>
      </x:c>
      <x:c r="I145" s="12" t="n">
        <x:v>6</x:v>
      </x:c>
      <x:c r="J145" s="15" t="n">
        <x:v>148000</x:v>
      </x:c>
      <x:c r="K145" s="17" t="n">
        <x:v>0</x:v>
      </x:c>
      <x:c r="L145" s="15" t="n">
        <x:f>I145*J145*(1-K145)</x:f>
        <x:v>888000</x:v>
      </x:c>
      <x:c r="M145" s="15" t="n">
        <x:v>42000</x:v>
      </x:c>
      <x:c r="N145" s="15" t="n">
        <x:f>L145-(I145*M145)</x:f>
        <x:v>636000</x:v>
      </x:c>
      <x:c r="O145" s="19" t="n">
        <x:f>IFERROR(N145/L145,0)</x:f>
        <x:v>0.7162162162162162</x:v>
      </x:c>
      <x:c r="P145" s="12" t="str">
        <x:v>배송완료</x:v>
      </x:c>
      <x:c r="Q145" s="12" t="str">
        <x:v>최유진</x:v>
      </x:c>
    </x:row>
    <x:row r="146">
      <x:c r="A146" s="12" t="str">
        <x:v>ORD-2026-0145</x:v>
      </x:c>
      <x:c r="B146" s="13" t="n">
        <x:v>46071</x:v>
      </x:c>
      <x:c r="C146" s="12" t="str">
        <x:v>오로라랩</x:v>
      </x:c>
      <x:c r="D146" s="12" t="str">
        <x:v>서울</x:v>
      </x:c>
      <x:c r="E146" s="12" t="str">
        <x:v>오프라인</x:v>
      </x:c>
      <x:c r="F146" s="12" t="str">
        <x:v>AC-001</x:v>
      </x:c>
      <x:c r="G146" s="12" t="str">
        <x:v>Mechanical Keyboard</x:v>
      </x:c>
      <x:c r="H146" s="12" t="str">
        <x:v>주변기기</x:v>
      </x:c>
      <x:c r="I146" s="12" t="n">
        <x:v>2</x:v>
      </x:c>
      <x:c r="J146" s="15" t="n">
        <x:v>129000</x:v>
      </x:c>
      <x:c r="K146" s="17" t="n">
        <x:v>0.2</x:v>
      </x:c>
      <x:c r="L146" s="15" t="n">
        <x:f>I146*J146*(1-K146)</x:f>
        <x:v>206400</x:v>
      </x:c>
      <x:c r="M146" s="15" t="n">
        <x:v>72000</x:v>
      </x:c>
      <x:c r="N146" s="15" t="n">
        <x:f>L146-(I146*M146)</x:f>
        <x:v>62400</x:v>
      </x:c>
      <x:c r="O146" s="19" t="n">
        <x:f>IFERROR(N146/L146,0)</x:f>
        <x:v>0.3023255813953488</x:v>
      </x:c>
      <x:c r="P146" s="12" t="str">
        <x:v>취소</x:v>
      </x:c>
      <x:c r="Q146" s="12" t="str">
        <x:v>오세훈</x:v>
      </x:c>
    </x:row>
    <x:row r="147">
      <x:c r="A147" s="12" t="str">
        <x:v>ORD-2026-0146</x:v>
      </x:c>
      <x:c r="B147" s="13" t="n">
        <x:v>46028</x:v>
      </x:c>
      <x:c r="C147" s="12" t="str">
        <x:v>서울디자인</x:v>
      </x:c>
      <x:c r="D147" s="12" t="str">
        <x:v>경기</x:v>
      </x:c>
      <x:c r="E147" s="12" t="str">
        <x:v>오프라인</x:v>
      </x:c>
      <x:c r="F147" s="12" t="str">
        <x:v>SV-002</x:v>
      </x:c>
      <x:c r="G147" s="12" t="str">
        <x:v>GPU Server G2</x:v>
      </x:c>
      <x:c r="H147" s="12" t="str">
        <x:v>서버</x:v>
      </x:c>
      <x:c r="I147" s="12" t="n">
        <x:v>1</x:v>
      </x:c>
      <x:c r="J147" s="15" t="n">
        <x:v>11800000</x:v>
      </x:c>
      <x:c r="K147" s="17" t="n">
        <x:v>0.2</x:v>
      </x:c>
      <x:c r="L147" s="15" t="n">
        <x:f>I147*J147*(1-K147)</x:f>
        <x:v>9440000</x:v>
      </x:c>
      <x:c r="M147" s="15" t="n">
        <x:v>9740000</x:v>
      </x:c>
      <x:c r="N147" s="15" t="n">
        <x:f>L147-(I147*M147)</x:f>
        <x:v>-300000</x:v>
      </x:c>
      <x:c r="O147" s="19" t="n">
        <x:f>IFERROR(N147/L147,0)</x:f>
        <x:v>-0.03177966101694915</x:v>
      </x:c>
      <x:c r="P147" s="12" t="str">
        <x:v>처리중</x:v>
      </x:c>
      <x:c r="Q147" s="12" t="str">
        <x:v>이서연</x:v>
      </x:c>
    </x:row>
    <x:row r="148">
      <x:c r="A148" s="12" t="str">
        <x:v>ORD-2026-0147</x:v>
      </x:c>
      <x:c r="B148" s="13" t="n">
        <x:v>46218</x:v>
      </x:c>
      <x:c r="C148" s="12" t="str">
        <x:v>대한국제</x:v>
      </x:c>
      <x:c r="D148" s="12" t="str">
        <x:v>경기</x:v>
      </x:c>
      <x:c r="E148" s="12" t="str">
        <x:v>B2B</x:v>
      </x:c>
      <x:c r="F148" s="12" t="str">
        <x:v>NB-002</x:v>
      </x:c>
      <x:c r="G148" s="12" t="str">
        <x:v>NovaBook Pro 16</x:v>
      </x:c>
      <x:c r="H148" s="12" t="str">
        <x:v>노트북</x:v>
      </x:c>
      <x:c r="I148" s="12" t="n">
        <x:v>4</x:v>
      </x:c>
      <x:c r="J148" s="15" t="n">
        <x:v>1680000</x:v>
      </x:c>
      <x:c r="K148" s="17" t="n">
        <x:v>0.1</x:v>
      </x:c>
      <x:c r="L148" s="15" t="n">
        <x:f>I148*J148*(1-K148)</x:f>
        <x:v>6048000</x:v>
      </x:c>
      <x:c r="M148" s="15" t="n">
        <x:v>1240000</x:v>
      </x:c>
      <x:c r="N148" s="15" t="n">
        <x:f>L148-(I148*M148)</x:f>
        <x:v>1088000</x:v>
      </x:c>
      <x:c r="O148" s="19" t="n">
        <x:f>IFERROR(N148/L148,0)</x:f>
        <x:v>0.17989417989417988</x:v>
      </x:c>
      <x:c r="P148" s="12" t="str">
        <x:v>배송완료</x:v>
      </x:c>
      <x:c r="Q148" s="12" t="str">
        <x:v>정하늘</x:v>
      </x:c>
    </x:row>
    <x:row r="149">
      <x:c r="A149" s="12" t="str">
        <x:v>ORD-2026-0148</x:v>
      </x:c>
      <x:c r="B149" s="13" t="n">
        <x:v>46093</x:v>
      </x:c>
      <x:c r="C149" s="12" t="str">
        <x:v>스마트팩토리</x:v>
      </x:c>
      <x:c r="D149" s="12" t="str">
        <x:v>충청</x:v>
      </x:c>
      <x:c r="E149" s="12" t="str">
        <x:v>오프라인</x:v>
      </x:c>
      <x:c r="F149" s="12" t="str">
        <x:v>NB-001</x:v>
      </x:c>
      <x:c r="G149" s="12" t="str">
        <x:v>NovaBook Air 14</x:v>
      </x:c>
      <x:c r="H149" s="12" t="str">
        <x:v>노트북</x:v>
      </x:c>
      <x:c r="I149" s="12" t="n">
        <x:v>3</x:v>
      </x:c>
      <x:c r="J149" s="15" t="n">
        <x:v>980000</x:v>
      </x:c>
      <x:c r="K149" s="17" t="n">
        <x:v>0</x:v>
      </x:c>
      <x:c r="L149" s="15" t="n">
        <x:f>I149*J149*(1-K149)</x:f>
        <x:v>2940000</x:v>
      </x:c>
      <x:c r="M149" s="15" t="n">
        <x:v>720000</x:v>
      </x:c>
      <x:c r="N149" s="15" t="n">
        <x:f>L149-(I149*M149)</x:f>
        <x:v>780000</x:v>
      </x:c>
      <x:c r="O149" s="19" t="n">
        <x:f>IFERROR(N149/L149,0)</x:f>
        <x:v>0.2653061224489796</x:v>
      </x:c>
      <x:c r="P149" s="12" t="str">
        <x:v>배송완료</x:v>
      </x:c>
      <x:c r="Q149" s="12" t="str">
        <x:v>오세훈</x:v>
      </x:c>
    </x:row>
    <x:row r="150">
      <x:c r="A150" s="12" t="str">
        <x:v>ORD-2026-0149</x:v>
      </x:c>
      <x:c r="B150" s="13" t="n">
        <x:v>46056</x:v>
      </x:c>
      <x:c r="C150" s="12" t="str">
        <x:v>대한국제</x:v>
      </x:c>
      <x:c r="D150" s="12" t="str">
        <x:v>호남</x:v>
      </x:c>
      <x:c r="E150" s="12" t="str">
        <x:v>B2B</x:v>
      </x:c>
      <x:c r="F150" s="12" t="str">
        <x:v>NB-001</x:v>
      </x:c>
      <x:c r="G150" s="12" t="str">
        <x:v>NovaBook Air 14</x:v>
      </x:c>
      <x:c r="H150" s="12" t="str">
        <x:v>노트북</x:v>
      </x:c>
      <x:c r="I150" s="12" t="n">
        <x:v>1</x:v>
      </x:c>
      <x:c r="J150" s="15" t="n">
        <x:v>980000</x:v>
      </x:c>
      <x:c r="K150" s="17" t="n">
        <x:v>0.03</x:v>
      </x:c>
      <x:c r="L150" s="15" t="n">
        <x:f>I150*J150*(1-K150)</x:f>
        <x:v>950600</x:v>
      </x:c>
      <x:c r="M150" s="15" t="n">
        <x:v>720000</x:v>
      </x:c>
      <x:c r="N150" s="15" t="n">
        <x:f>L150-(I150*M150)</x:f>
        <x:v>230600</x:v>
      </x:c>
      <x:c r="O150" s="19" t="n">
        <x:f>IFERROR(N150/L150,0)</x:f>
        <x:v>0.2425836313907006</x:v>
      </x:c>
      <x:c r="P150" s="12" t="str">
        <x:v>배송완료</x:v>
      </x:c>
      <x:c r="Q150" s="12" t="str">
        <x:v>이서연</x:v>
      </x:c>
    </x:row>
    <x:row r="151">
      <x:c r="A151" s="12" t="str">
        <x:v>ORD-2026-0150</x:v>
      </x:c>
      <x:c r="B151" s="13" t="n">
        <x:v>46036</x:v>
      </x:c>
      <x:c r="C151" s="12" t="str">
        <x:v>그린물류</x:v>
      </x:c>
      <x:c r="D151" s="12" t="str">
        <x:v>호남</x:v>
      </x:c>
      <x:c r="E151" s="12" t="str">
        <x:v>온라인</x:v>
      </x:c>
      <x:c r="F151" s="12" t="str">
        <x:v>AC-001</x:v>
      </x:c>
      <x:c r="G151" s="12" t="str">
        <x:v>Mechanical Keyboard</x:v>
      </x:c>
      <x:c r="H151" s="12" t="str">
        <x:v>주변기기</x:v>
      </x:c>
      <x:c r="I151" s="12" t="n">
        <x:v>3</x:v>
      </x:c>
      <x:c r="J151" s="15" t="n">
        <x:v>129000</x:v>
      </x:c>
      <x:c r="K151" s="17" t="n">
        <x:v>0.15</x:v>
      </x:c>
      <x:c r="L151" s="15" t="n">
        <x:f>I151*J151*(1-K151)</x:f>
        <x:v>328950</x:v>
      </x:c>
      <x:c r="M151" s="15" t="n">
        <x:v>72000</x:v>
      </x:c>
      <x:c r="N151" s="15" t="n">
        <x:f>L151-(I151*M151)</x:f>
        <x:v>112950</x:v>
      </x:c>
      <x:c r="O151" s="19" t="n">
        <x:f>IFERROR(N151/L151,0)</x:f>
        <x:v>0.3433652530779754</x:v>
      </x:c>
      <x:c r="P151" s="12" t="str">
        <x:v>취소</x:v>
      </x:c>
      <x:c r="Q151" s="12" t="str">
        <x:v>김민준</x:v>
      </x:c>
    </x:row>
    <x:row r="152">
      <x:c r="A152" s="12" t="str">
        <x:v>ORD-2026-0151</x:v>
      </x:c>
      <x:c r="B152" s="13" t="n">
        <x:v>46137</x:v>
      </x:c>
      <x:c r="C152" s="12" t="str">
        <x:v>비전교육</x:v>
      </x:c>
      <x:c r="D152" s="12" t="str">
        <x:v>서울</x:v>
      </x:c>
      <x:c r="E152" s="12" t="str">
        <x:v>마켓플레이스</x:v>
      </x:c>
      <x:c r="F152" s="12" t="str">
        <x:v>SW-001</x:v>
      </x:c>
      <x:c r="G152" s="12" t="str">
        <x:v>Office Suite Annual</x:v>
      </x:c>
      <x:c r="H152" s="12" t="str">
        <x:v>소프트웨어</x:v>
      </x:c>
      <x:c r="I152" s="12" t="n">
        <x:v>6</x:v>
      </x:c>
      <x:c r="J152" s="15" t="n">
        <x:v>148000</x:v>
      </x:c>
      <x:c r="K152" s="17" t="n">
        <x:v>0.1</x:v>
      </x:c>
      <x:c r="L152" s="15" t="n">
        <x:f>I152*J152*(1-K152)</x:f>
        <x:v>799200</x:v>
      </x:c>
      <x:c r="M152" s="15" t="n">
        <x:v>42000</x:v>
      </x:c>
      <x:c r="N152" s="15" t="n">
        <x:f>L152-(I152*M152)</x:f>
        <x:v>547200</x:v>
      </x:c>
      <x:c r="O152" s="19" t="n">
        <x:f>IFERROR(N152/L152,0)</x:f>
        <x:v>0.6846846846846847</x:v>
      </x:c>
      <x:c r="P152" s="12" t="str">
        <x:v>처리중</x:v>
      </x:c>
      <x:c r="Q152" s="12" t="str">
        <x:v>이서연</x:v>
      </x:c>
    </x:row>
    <x:row r="153">
      <x:c r="A153" s="12" t="str">
        <x:v>ORD-2026-0152</x:v>
      </x:c>
      <x:c r="B153" s="13" t="n">
        <x:v>46034</x:v>
      </x:c>
      <x:c r="C153" s="12" t="str">
        <x:v>한빛테크</x:v>
      </x:c>
      <x:c r="D153" s="12" t="str">
        <x:v>서울</x:v>
      </x:c>
      <x:c r="E153" s="12" t="str">
        <x:v>마켓플레이스</x:v>
      </x:c>
      <x:c r="F153" s="12" t="str">
        <x:v>SV-002</x:v>
      </x:c>
      <x:c r="G153" s="12" t="str">
        <x:v>GPU Server G2</x:v>
      </x:c>
      <x:c r="H153" s="12" t="str">
        <x:v>서버</x:v>
      </x:c>
      <x:c r="I153" s="12" t="n">
        <x:v>2</x:v>
      </x:c>
      <x:c r="J153" s="15" t="n">
        <x:v>11800000</x:v>
      </x:c>
      <x:c r="K153" s="17" t="n">
        <x:v>0.05</x:v>
      </x:c>
      <x:c r="L153" s="15" t="n">
        <x:f>I153*J153*(1-K153)</x:f>
        <x:v>22420000</x:v>
      </x:c>
      <x:c r="M153" s="15" t="n">
        <x:v>9740000</x:v>
      </x:c>
      <x:c r="N153" s="15" t="n">
        <x:f>L153-(I153*M153)</x:f>
        <x:v>2940000</x:v>
      </x:c>
      <x:c r="O153" s="19" t="n">
        <x:f>IFERROR(N153/L153,0)</x:f>
        <x:v>0.1311329170383586</x:v>
      </x:c>
      <x:c r="P153" s="12" t="str">
        <x:v>배송중</x:v>
      </x:c>
      <x:c r="Q153" s="12" t="str">
        <x:v>최유진</x:v>
      </x:c>
    </x:row>
    <x:row r="154">
      <x:c r="A154" s="12" t="str">
        <x:v>ORD-2026-0153</x:v>
      </x:c>
      <x:c r="B154" s="13" t="n">
        <x:v>46148</x:v>
      </x:c>
      <x:c r="C154" s="12" t="str">
        <x:v>미래상사</x:v>
      </x:c>
      <x:c r="D154" s="12" t="str">
        <x:v>충청</x:v>
      </x:c>
      <x:c r="E154" s="12" t="str">
        <x:v>오프라인</x:v>
      </x:c>
      <x:c r="F154" s="12" t="str">
        <x:v>NB-002</x:v>
      </x:c>
      <x:c r="G154" s="12" t="str">
        <x:v>NovaBook Pro 16</x:v>
      </x:c>
      <x:c r="H154" s="12" t="str">
        <x:v>노트북</x:v>
      </x:c>
      <x:c r="I154" s="12" t="n">
        <x:v>8</x:v>
      </x:c>
      <x:c r="J154" s="15" t="n">
        <x:v>1680000</x:v>
      </x:c>
      <x:c r="K154" s="17" t="n">
        <x:v>0</x:v>
      </x:c>
      <x:c r="L154" s="15" t="n">
        <x:f>I154*J154*(1-K154)</x:f>
        <x:v>13440000</x:v>
      </x:c>
      <x:c r="M154" s="15" t="n">
        <x:v>1240000</x:v>
      </x:c>
      <x:c r="N154" s="15" t="n">
        <x:f>L154-(I154*M154)</x:f>
        <x:v>3520000</x:v>
      </x:c>
      <x:c r="O154" s="19" t="n">
        <x:f>IFERROR(N154/L154,0)</x:f>
        <x:v>0.2619047619047619</x:v>
      </x:c>
      <x:c r="P154" s="12" t="str">
        <x:v>배송완료</x:v>
      </x:c>
      <x:c r="Q154" s="12" t="str">
        <x:v>이서연</x:v>
      </x:c>
    </x:row>
    <x:row r="155">
      <x:c r="A155" s="12" t="str">
        <x:v>ORD-2026-0154</x:v>
      </x:c>
      <x:c r="B155" s="13" t="n">
        <x:v>46182</x:v>
      </x:c>
      <x:c r="C155" s="12" t="str">
        <x:v>비전교육</x:v>
      </x:c>
      <x:c r="D155" s="12" t="str">
        <x:v>호남</x:v>
      </x:c>
      <x:c r="E155" s="12" t="str">
        <x:v>B2B</x:v>
      </x:c>
      <x:c r="F155" s="12" t="str">
        <x:v>AC-001</x:v>
      </x:c>
      <x:c r="G155" s="12" t="str">
        <x:v>Mechanical Keyboard</x:v>
      </x:c>
      <x:c r="H155" s="12" t="str">
        <x:v>주변기기</x:v>
      </x:c>
      <x:c r="I155" s="12" t="n">
        <x:v>6</x:v>
      </x:c>
      <x:c r="J155" s="15" t="n">
        <x:v>129000</x:v>
      </x:c>
      <x:c r="K155" s="17" t="n">
        <x:v>0.05</x:v>
      </x:c>
      <x:c r="L155" s="15" t="n">
        <x:f>I155*J155*(1-K155)</x:f>
        <x:v>735300</x:v>
      </x:c>
      <x:c r="M155" s="15" t="n">
        <x:v>72000</x:v>
      </x:c>
      <x:c r="N155" s="15" t="n">
        <x:f>L155-(I155*M155)</x:f>
        <x:v>303300</x:v>
      </x:c>
      <x:c r="O155" s="19" t="n">
        <x:f>IFERROR(N155/L155,0)</x:f>
        <x:v>0.412484700122399</x:v>
      </x:c>
      <x:c r="P155" s="12" t="str">
        <x:v>배송중</x:v>
      </x:c>
      <x:c r="Q155" s="12" t="str">
        <x:v>정하늘</x:v>
      </x:c>
    </x:row>
    <x:row r="156">
      <x:c r="A156" s="12" t="str">
        <x:v>ORD-2026-0155</x:v>
      </x:c>
      <x:c r="B156" s="13" t="n">
        <x:v>46133</x:v>
      </x:c>
      <x:c r="C156" s="12" t="str">
        <x:v>미래상사</x:v>
      </x:c>
      <x:c r="D156" s="12" t="str">
        <x:v>강원</x:v>
      </x:c>
      <x:c r="E156" s="12" t="str">
        <x:v>오프라인</x:v>
      </x:c>
      <x:c r="F156" s="12" t="str">
        <x:v>SV-002</x:v>
      </x:c>
      <x:c r="G156" s="12" t="str">
        <x:v>GPU Server G2</x:v>
      </x:c>
      <x:c r="H156" s="12" t="str">
        <x:v>서버</x:v>
      </x:c>
      <x:c r="I156" s="12" t="n">
        <x:v>1</x:v>
      </x:c>
      <x:c r="J156" s="15" t="n">
        <x:v>11800000</x:v>
      </x:c>
      <x:c r="K156" s="17" t="n">
        <x:v>0.2</x:v>
      </x:c>
      <x:c r="L156" s="15" t="n">
        <x:f>I156*J156*(1-K156)</x:f>
        <x:v>9440000</x:v>
      </x:c>
      <x:c r="M156" s="15" t="n">
        <x:v>9740000</x:v>
      </x:c>
      <x:c r="N156" s="15" t="n">
        <x:f>L156-(I156*M156)</x:f>
        <x:v>-300000</x:v>
      </x:c>
      <x:c r="O156" s="19" t="n">
        <x:f>IFERROR(N156/L156,0)</x:f>
        <x:v>-0.03177966101694915</x:v>
      </x:c>
      <x:c r="P156" s="12" t="str">
        <x:v>배송중</x:v>
      </x:c>
      <x:c r="Q156" s="12" t="str">
        <x:v>최유진</x:v>
      </x:c>
    </x:row>
    <x:row r="157">
      <x:c r="A157" s="12" t="str">
        <x:v>ORD-2026-0156</x:v>
      </x:c>
      <x:c r="B157" s="13" t="n">
        <x:v>46128</x:v>
      </x:c>
      <x:c r="C157" s="12" t="str">
        <x:v>오로라랩</x:v>
      </x:c>
      <x:c r="D157" s="12" t="str">
        <x:v>영남</x:v>
      </x:c>
      <x:c r="E157" s="12" t="str">
        <x:v>마켓플레이스</x:v>
      </x:c>
      <x:c r="F157" s="12" t="str">
        <x:v>MN-002</x:v>
      </x:c>
      <x:c r="G157" s="12" t="str">
        <x:v>Vision UltraWide 34</x:v>
      </x:c>
      <x:c r="H157" s="12" t="str">
        <x:v>모니터</x:v>
      </x:c>
      <x:c r="I157" s="12" t="n">
        <x:v>6</x:v>
      </x:c>
      <x:c r="J157" s="15" t="n">
        <x:v>710000</x:v>
      </x:c>
      <x:c r="K157" s="17" t="n">
        <x:v>0.2</x:v>
      </x:c>
      <x:c r="L157" s="15" t="n">
        <x:f>I157*J157*(1-K157)</x:f>
        <x:v>3408000</x:v>
      </x:c>
      <x:c r="M157" s="15" t="n">
        <x:v>505000</x:v>
      </x:c>
      <x:c r="N157" s="15" t="n">
        <x:f>L157-(I157*M157)</x:f>
        <x:v>378000</x:v>
      </x:c>
      <x:c r="O157" s="19" t="n">
        <x:f>IFERROR(N157/L157,0)</x:f>
        <x:v>0.11091549295774648</x:v>
      </x:c>
      <x:c r="P157" s="12" t="str">
        <x:v>취소</x:v>
      </x:c>
      <x:c r="Q157" s="12" t="str">
        <x:v>김민준</x:v>
      </x:c>
    </x:row>
    <x:row r="158">
      <x:c r="A158" s="12" t="str">
        <x:v>ORD-2026-0157</x:v>
      </x:c>
      <x:c r="B158" s="13" t="n">
        <x:v>46132</x:v>
      </x:c>
      <x:c r="C158" s="12" t="str">
        <x:v>알파솔루션</x:v>
      </x:c>
      <x:c r="D158" s="12" t="str">
        <x:v>충청</x:v>
      </x:c>
      <x:c r="E158" s="12" t="str">
        <x:v>오프라인</x:v>
      </x:c>
      <x:c r="F158" s="12" t="str">
        <x:v>AC-002</x:v>
      </x:c>
      <x:c r="G158" s="12" t="str">
        <x:v>Wireless Mouse</x:v>
      </x:c>
      <x:c r="H158" s="12" t="str">
        <x:v>주변기기</x:v>
      </x:c>
      <x:c r="I158" s="12" t="n">
        <x:v>6</x:v>
      </x:c>
      <x:c r="J158" s="15" t="n">
        <x:v>69000</x:v>
      </x:c>
      <x:c r="K158" s="17" t="n">
        <x:v>0.15</x:v>
      </x:c>
      <x:c r="L158" s="15" t="n">
        <x:f>I158*J158*(1-K158)</x:f>
        <x:v>351900</x:v>
      </x:c>
      <x:c r="M158" s="15" t="n">
        <x:v>35000</x:v>
      </x:c>
      <x:c r="N158" s="15" t="n">
        <x:f>L158-(I158*M158)</x:f>
        <x:v>141900</x:v>
      </x:c>
      <x:c r="O158" s="19" t="n">
        <x:f>IFERROR(N158/L158,0)</x:f>
        <x:v>0.4032395566922421</x:v>
      </x:c>
      <x:c r="P158" s="12" t="str">
        <x:v>취소</x:v>
      </x:c>
      <x:c r="Q158" s="12" t="str">
        <x:v>최유진</x:v>
      </x:c>
    </x:row>
    <x:row r="159">
      <x:c r="A159" s="12" t="str">
        <x:v>ORD-2026-0158</x:v>
      </x:c>
      <x:c r="B159" s="13" t="n">
        <x:v>46046</x:v>
      </x:c>
      <x:c r="C159" s="12" t="str">
        <x:v>그린물류</x:v>
      </x:c>
      <x:c r="D159" s="12" t="str">
        <x:v>서울</x:v>
      </x:c>
      <x:c r="E159" s="12" t="str">
        <x:v>B2B</x:v>
      </x:c>
      <x:c r="F159" s="12" t="str">
        <x:v>NB-002</x:v>
      </x:c>
      <x:c r="G159" s="12" t="str">
        <x:v>NovaBook Pro 16</x:v>
      </x:c>
      <x:c r="H159" s="12" t="str">
        <x:v>노트북</x:v>
      </x:c>
      <x:c r="I159" s="12" t="n">
        <x:v>2</x:v>
      </x:c>
      <x:c r="J159" s="15" t="n">
        <x:v>1680000</x:v>
      </x:c>
      <x:c r="K159" s="17" t="n">
        <x:v>0</x:v>
      </x:c>
      <x:c r="L159" s="15" t="n">
        <x:f>I159*J159*(1-K159)</x:f>
        <x:v>3360000</x:v>
      </x:c>
      <x:c r="M159" s="15" t="n">
        <x:v>1240000</x:v>
      </x:c>
      <x:c r="N159" s="15" t="n">
        <x:f>L159-(I159*M159)</x:f>
        <x:v>880000</x:v>
      </x:c>
      <x:c r="O159" s="19" t="n">
        <x:f>IFERROR(N159/L159,0)</x:f>
        <x:v>0.2619047619047619</x:v>
      </x:c>
      <x:c r="P159" s="12" t="str">
        <x:v>배송완료</x:v>
      </x:c>
      <x:c r="Q159" s="12" t="str">
        <x:v>정하늘</x:v>
      </x:c>
    </x:row>
    <x:row r="160">
      <x:c r="A160" s="12" t="str">
        <x:v>ORD-2026-0159</x:v>
      </x:c>
      <x:c r="B160" s="13" t="n">
        <x:v>46173</x:v>
      </x:c>
      <x:c r="C160" s="12" t="str">
        <x:v>미래상사</x:v>
      </x:c>
      <x:c r="D160" s="12" t="str">
        <x:v>영남</x:v>
      </x:c>
      <x:c r="E160" s="12" t="str">
        <x:v>B2B</x:v>
      </x:c>
      <x:c r="F160" s="12" t="str">
        <x:v>NB-001</x:v>
      </x:c>
      <x:c r="G160" s="12" t="str">
        <x:v>NovaBook Air 14</x:v>
      </x:c>
      <x:c r="H160" s="12" t="str">
        <x:v>노트북</x:v>
      </x:c>
      <x:c r="I160" s="12" t="n">
        <x:v>6</x:v>
      </x:c>
      <x:c r="J160" s="15" t="n">
        <x:v>980000</x:v>
      </x:c>
      <x:c r="K160" s="17" t="n">
        <x:v>0.15</x:v>
      </x:c>
      <x:c r="L160" s="15" t="n">
        <x:f>I160*J160*(1-K160)</x:f>
        <x:v>4998000</x:v>
      </x:c>
      <x:c r="M160" s="15" t="n">
        <x:v>720000</x:v>
      </x:c>
      <x:c r="N160" s="15" t="n">
        <x:f>L160-(I160*M160)</x:f>
        <x:v>678000</x:v>
      </x:c>
      <x:c r="O160" s="19" t="n">
        <x:f>IFERROR(N160/L160,0)</x:f>
        <x:v>0.13565426170468187</x:v>
      </x:c>
      <x:c r="P160" s="12" t="str">
        <x:v>취소</x:v>
      </x:c>
      <x:c r="Q160" s="12" t="str">
        <x:v>최유진</x:v>
      </x:c>
    </x:row>
    <x:row r="161">
      <x:c r="A161" s="12" t="str">
        <x:v>ORD-2026-0160</x:v>
      </x:c>
      <x:c r="B161" s="13" t="n">
        <x:v>46096</x:v>
      </x:c>
      <x:c r="C161" s="12" t="str">
        <x:v>미래상사</x:v>
      </x:c>
      <x:c r="D161" s="12" t="str">
        <x:v>호남</x:v>
      </x:c>
      <x:c r="E161" s="12" t="str">
        <x:v>오프라인</x:v>
      </x:c>
      <x:c r="F161" s="12" t="str">
        <x:v>NB-001</x:v>
      </x:c>
      <x:c r="G161" s="12" t="str">
        <x:v>NovaBook Air 14</x:v>
      </x:c>
      <x:c r="H161" s="12" t="str">
        <x:v>노트북</x:v>
      </x:c>
      <x:c r="I161" s="12" t="n">
        <x:v>5</x:v>
      </x:c>
      <x:c r="J161" s="15" t="n">
        <x:v>980000</x:v>
      </x:c>
      <x:c r="K161" s="17" t="n">
        <x:v>0.03</x:v>
      </x:c>
      <x:c r="L161" s="15" t="n">
        <x:f>I161*J161*(1-K161)</x:f>
        <x:v>4753000</x:v>
      </x:c>
      <x:c r="M161" s="15" t="n">
        <x:v>720000</x:v>
      </x:c>
      <x:c r="N161" s="15" t="n">
        <x:f>L161-(I161*M161)</x:f>
        <x:v>1153000</x:v>
      </x:c>
      <x:c r="O161" s="19" t="n">
        <x:f>IFERROR(N161/L161,0)</x:f>
        <x:v>0.2425836313907006</x:v>
      </x:c>
      <x:c r="P161" s="12" t="str">
        <x:v>배송완료</x:v>
      </x:c>
      <x:c r="Q161" s="12" t="str">
        <x:v>오세훈</x:v>
      </x:c>
    </x:row>
    <x:row r="162">
      <x:c r="A162" s="12" t="str">
        <x:v>ORD-2026-0161</x:v>
      </x:c>
      <x:c r="B162" s="13" t="n">
        <x:v>46080</x:v>
      </x:c>
      <x:c r="C162" s="12" t="str">
        <x:v>스마트팩토리</x:v>
      </x:c>
      <x:c r="D162" s="12" t="str">
        <x:v>충청</x:v>
      </x:c>
      <x:c r="E162" s="12" t="str">
        <x:v>온라인</x:v>
      </x:c>
      <x:c r="F162" s="12" t="str">
        <x:v>SW-001</x:v>
      </x:c>
      <x:c r="G162" s="12" t="str">
        <x:v>Office Suite Annual</x:v>
      </x:c>
      <x:c r="H162" s="12" t="str">
        <x:v>소프트웨어</x:v>
      </x:c>
      <x:c r="I162" s="12" t="n">
        <x:v>2</x:v>
      </x:c>
      <x:c r="J162" s="15" t="n">
        <x:v>148000</x:v>
      </x:c>
      <x:c r="K162" s="17" t="n">
        <x:v>0.03</x:v>
      </x:c>
      <x:c r="L162" s="15" t="n">
        <x:f>I162*J162*(1-K162)</x:f>
        <x:v>287120</x:v>
      </x:c>
      <x:c r="M162" s="15" t="n">
        <x:v>42000</x:v>
      </x:c>
      <x:c r="N162" s="15" t="n">
        <x:f>L162-(I162*M162)</x:f>
        <x:v>203120</x:v>
      </x:c>
      <x:c r="O162" s="19" t="n">
        <x:f>IFERROR(N162/L162,0)</x:f>
        <x:v>0.7074393981610476</x:v>
      </x:c>
      <x:c r="P162" s="12" t="str">
        <x:v>배송완료</x:v>
      </x:c>
      <x:c r="Q162" s="12" t="str">
        <x:v>정하늘</x:v>
      </x:c>
    </x:row>
    <x:row r="163">
      <x:c r="A163" s="12" t="str">
        <x:v>ORD-2026-0162</x:v>
      </x:c>
      <x:c r="B163" s="13" t="n">
        <x:v>46132</x:v>
      </x:c>
      <x:c r="C163" s="12" t="str">
        <x:v>알파솔루션</x:v>
      </x:c>
      <x:c r="D163" s="12" t="str">
        <x:v>서울</x:v>
      </x:c>
      <x:c r="E163" s="12" t="str">
        <x:v>오프라인</x:v>
      </x:c>
      <x:c r="F163" s="12" t="str">
        <x:v>MN-002</x:v>
      </x:c>
      <x:c r="G163" s="12" t="str">
        <x:v>Vision UltraWide 34</x:v>
      </x:c>
      <x:c r="H163" s="12" t="str">
        <x:v>모니터</x:v>
      </x:c>
      <x:c r="I163" s="12" t="n">
        <x:v>1</x:v>
      </x:c>
      <x:c r="J163" s="15" t="n">
        <x:v>710000</x:v>
      </x:c>
      <x:c r="K163" s="17" t="n">
        <x:v>0.1</x:v>
      </x:c>
      <x:c r="L163" s="15" t="n">
        <x:f>I163*J163*(1-K163)</x:f>
        <x:v>639000</x:v>
      </x:c>
      <x:c r="M163" s="15" t="n">
        <x:v>505000</x:v>
      </x:c>
      <x:c r="N163" s="15" t="n">
        <x:f>L163-(I163*M163)</x:f>
        <x:v>134000</x:v>
      </x:c>
      <x:c r="O163" s="19" t="n">
        <x:f>IFERROR(N163/L163,0)</x:f>
        <x:v>0.20970266040688576</x:v>
      </x:c>
      <x:c r="P163" s="12" t="str">
        <x:v>배송완료</x:v>
      </x:c>
      <x:c r="Q163" s="12" t="str">
        <x:v>오세훈</x:v>
      </x:c>
    </x:row>
    <x:row r="164">
      <x:c r="A164" s="12" t="str">
        <x:v>ORD-2026-0163</x:v>
      </x:c>
      <x:c r="B164" s="13" t="n">
        <x:v>46109</x:v>
      </x:c>
      <x:c r="C164" s="12" t="str">
        <x:v>세종연구소</x:v>
      </x:c>
      <x:c r="D164" s="12" t="str">
        <x:v>경기</x:v>
      </x:c>
      <x:c r="E164" s="12" t="str">
        <x:v>마켓플레이스</x:v>
      </x:c>
      <x:c r="F164" s="12" t="str">
        <x:v>AC-001</x:v>
      </x:c>
      <x:c r="G164" s="12" t="str">
        <x:v>Mechanical Keyboard</x:v>
      </x:c>
      <x:c r="H164" s="12" t="str">
        <x:v>주변기기</x:v>
      </x:c>
      <x:c r="I164" s="12" t="n">
        <x:v>6</x:v>
      </x:c>
      <x:c r="J164" s="15" t="n">
        <x:v>129000</x:v>
      </x:c>
      <x:c r="K164" s="17" t="n">
        <x:v>0</x:v>
      </x:c>
      <x:c r="L164" s="15" t="n">
        <x:f>I164*J164*(1-K164)</x:f>
        <x:v>774000</x:v>
      </x:c>
      <x:c r="M164" s="15" t="n">
        <x:v>72000</x:v>
      </x:c>
      <x:c r="N164" s="15" t="n">
        <x:f>L164-(I164*M164)</x:f>
        <x:v>342000</x:v>
      </x:c>
      <x:c r="O164" s="19" t="n">
        <x:f>IFERROR(N164/L164,0)</x:f>
        <x:v>0.4418604651162791</x:v>
      </x:c>
      <x:c r="P164" s="12" t="str">
        <x:v>배송완료</x:v>
      </x:c>
      <x:c r="Q164" s="12" t="str">
        <x:v>이서연</x:v>
      </x:c>
    </x:row>
    <x:row r="165">
      <x:c r="A165" s="12" t="str">
        <x:v>ORD-2026-0164</x:v>
      </x:c>
      <x:c r="B165" s="13" t="n">
        <x:v>46046</x:v>
      </x:c>
      <x:c r="C165" s="12" t="str">
        <x:v>그린물류</x:v>
      </x:c>
      <x:c r="D165" s="12" t="str">
        <x:v>영남</x:v>
      </x:c>
      <x:c r="E165" s="12" t="str">
        <x:v>B2B</x:v>
      </x:c>
      <x:c r="F165" s="12" t="str">
        <x:v>NB-001</x:v>
      </x:c>
      <x:c r="G165" s="12" t="str">
        <x:v>NovaBook Air 14</x:v>
      </x:c>
      <x:c r="H165" s="12" t="str">
        <x:v>노트북</x:v>
      </x:c>
      <x:c r="I165" s="12" t="n">
        <x:v>4</x:v>
      </x:c>
      <x:c r="J165" s="15" t="n">
        <x:v>980000</x:v>
      </x:c>
      <x:c r="K165" s="17" t="n">
        <x:v>0.05</x:v>
      </x:c>
      <x:c r="L165" s="15" t="n">
        <x:f>I165*J165*(1-K165)</x:f>
        <x:v>3724000</x:v>
      </x:c>
      <x:c r="M165" s="15" t="n">
        <x:v>720000</x:v>
      </x:c>
      <x:c r="N165" s="15" t="n">
        <x:f>L165-(I165*M165)</x:f>
        <x:v>844000</x:v>
      </x:c>
      <x:c r="O165" s="19" t="n">
        <x:f>IFERROR(N165/L165,0)</x:f>
        <x:v>0.22663802363050484</x:v>
      </x:c>
      <x:c r="P165" s="12" t="str">
        <x:v>배송완료</x:v>
      </x:c>
      <x:c r="Q165" s="12" t="str">
        <x:v>박지훈</x:v>
      </x:c>
    </x:row>
    <x:row r="166">
      <x:c r="A166" s="12" t="str">
        <x:v>ORD-2026-0165</x:v>
      </x:c>
      <x:c r="B166" s="13" t="n">
        <x:v>46207</x:v>
      </x:c>
      <x:c r="C166" s="12" t="str">
        <x:v>비전교육</x:v>
      </x:c>
      <x:c r="D166" s="12" t="str">
        <x:v>호남</x:v>
      </x:c>
      <x:c r="E166" s="12" t="str">
        <x:v>온라인</x:v>
      </x:c>
      <x:c r="F166" s="12" t="str">
        <x:v>AC-001</x:v>
      </x:c>
      <x:c r="G166" s="12" t="str">
        <x:v>Mechanical Keyboard</x:v>
      </x:c>
      <x:c r="H166" s="12" t="str">
        <x:v>주변기기</x:v>
      </x:c>
      <x:c r="I166" s="12" t="n">
        <x:v>6</x:v>
      </x:c>
      <x:c r="J166" s="15" t="n">
        <x:v>129000</x:v>
      </x:c>
      <x:c r="K166" s="17" t="n">
        <x:v>0.2</x:v>
      </x:c>
      <x:c r="L166" s="15" t="n">
        <x:f>I166*J166*(1-K166)</x:f>
        <x:v>619200</x:v>
      </x:c>
      <x:c r="M166" s="15" t="n">
        <x:v>72000</x:v>
      </x:c>
      <x:c r="N166" s="15" t="n">
        <x:f>L166-(I166*M166)</x:f>
        <x:v>187200</x:v>
      </x:c>
      <x:c r="O166" s="19" t="n">
        <x:f>IFERROR(N166/L166,0)</x:f>
        <x:v>0.3023255813953488</x:v>
      </x:c>
      <x:c r="P166" s="12" t="str">
        <x:v>배송완료</x:v>
      </x:c>
      <x:c r="Q166" s="12" t="str">
        <x:v>이서연</x:v>
      </x:c>
    </x:row>
    <x:row r="167">
      <x:c r="A167" s="12" t="str">
        <x:v>ORD-2026-0166</x:v>
      </x:c>
      <x:c r="B167" s="13" t="n">
        <x:v>46216</x:v>
      </x:c>
      <x:c r="C167" s="12" t="str">
        <x:v>미래상사</x:v>
      </x:c>
      <x:c r="D167" s="12" t="str">
        <x:v>충청</x:v>
      </x:c>
      <x:c r="E167" s="12" t="str">
        <x:v>마켓플레이스</x:v>
      </x:c>
      <x:c r="F167" s="12" t="str">
        <x:v>MN-001</x:v>
      </x:c>
      <x:c r="G167" s="12" t="str">
        <x:v>Vision 27Q</x:v>
      </x:c>
      <x:c r="H167" s="12" t="str">
        <x:v>모니터</x:v>
      </x:c>
      <x:c r="I167" s="12" t="n">
        <x:v>1</x:v>
      </x:c>
      <x:c r="J167" s="15" t="n">
        <x:v>420000</x:v>
      </x:c>
      <x:c r="K167" s="17" t="n">
        <x:v>0.15</x:v>
      </x:c>
      <x:c r="L167" s="15" t="n">
        <x:f>I167*J167*(1-K167)</x:f>
        <x:v>357000</x:v>
      </x:c>
      <x:c r="M167" s="15" t="n">
        <x:v>285000</x:v>
      </x:c>
      <x:c r="N167" s="15" t="n">
        <x:f>L167-(I167*M167)</x:f>
        <x:v>72000</x:v>
      </x:c>
      <x:c r="O167" s="19" t="n">
        <x:f>IFERROR(N167/L167,0)</x:f>
        <x:v>0.20168067226890757</x:v>
      </x:c>
      <x:c r="P167" s="12" t="str">
        <x:v>취소</x:v>
      </x:c>
      <x:c r="Q167" s="12" t="str">
        <x:v>최유진</x:v>
      </x:c>
    </x:row>
    <x:row r="168">
      <x:c r="A168" s="12" t="str">
        <x:v>ORD-2026-0167</x:v>
      </x:c>
      <x:c r="B168" s="13" t="n">
        <x:v>46178</x:v>
      </x:c>
      <x:c r="C168" s="12" t="str">
        <x:v>알파솔루션</x:v>
      </x:c>
      <x:c r="D168" s="12" t="str">
        <x:v>경기</x:v>
      </x:c>
      <x:c r="E168" s="12" t="str">
        <x:v>온라인</x:v>
      </x:c>
      <x:c r="F168" s="12" t="str">
        <x:v>SW-001</x:v>
      </x:c>
      <x:c r="G168" s="12" t="str">
        <x:v>Office Suite Annual</x:v>
      </x:c>
      <x:c r="H168" s="12" t="str">
        <x:v>소프트웨어</x:v>
      </x:c>
      <x:c r="I168" s="12" t="n">
        <x:v>8</x:v>
      </x:c>
      <x:c r="J168" s="15" t="n">
        <x:v>148000</x:v>
      </x:c>
      <x:c r="K168" s="17" t="n">
        <x:v>0.05</x:v>
      </x:c>
      <x:c r="L168" s="15" t="n">
        <x:f>I168*J168*(1-K168)</x:f>
        <x:v>1124800</x:v>
      </x:c>
      <x:c r="M168" s="15" t="n">
        <x:v>42000</x:v>
      </x:c>
      <x:c r="N168" s="15" t="n">
        <x:f>L168-(I168*M168)</x:f>
        <x:v>788800</x:v>
      </x:c>
      <x:c r="O168" s="19" t="n">
        <x:f>IFERROR(N168/L168,0)</x:f>
        <x:v>0.701280227596017</x:v>
      </x:c>
      <x:c r="P168" s="12" t="str">
        <x:v>배송완료</x:v>
      </x:c>
      <x:c r="Q168" s="12" t="str">
        <x:v>최유진</x:v>
      </x:c>
    </x:row>
    <x:row r="169">
      <x:c r="A169" s="12" t="str">
        <x:v>ORD-2026-0168</x:v>
      </x:c>
      <x:c r="B169" s="13" t="n">
        <x:v>46095</x:v>
      </x:c>
      <x:c r="C169" s="12" t="str">
        <x:v>알파솔루션</x:v>
      </x:c>
      <x:c r="D169" s="12" t="str">
        <x:v>서울</x:v>
      </x:c>
      <x:c r="E169" s="12" t="str">
        <x:v>오프라인</x:v>
      </x:c>
      <x:c r="F169" s="12" t="str">
        <x:v>NB-002</x:v>
      </x:c>
      <x:c r="G169" s="12" t="str">
        <x:v>NovaBook Pro 16</x:v>
      </x:c>
      <x:c r="H169" s="12" t="str">
        <x:v>노트북</x:v>
      </x:c>
      <x:c r="I169" s="12" t="n">
        <x:v>8</x:v>
      </x:c>
      <x:c r="J169" s="15" t="n">
        <x:v>1680000</x:v>
      </x:c>
      <x:c r="K169" s="17" t="n">
        <x:v>0.1</x:v>
      </x:c>
      <x:c r="L169" s="15" t="n">
        <x:f>I169*J169*(1-K169)</x:f>
        <x:v>12096000</x:v>
      </x:c>
      <x:c r="M169" s="15" t="n">
        <x:v>1240000</x:v>
      </x:c>
      <x:c r="N169" s="15" t="n">
        <x:f>L169-(I169*M169)</x:f>
        <x:v>2176000</x:v>
      </x:c>
      <x:c r="O169" s="19" t="n">
        <x:f>IFERROR(N169/L169,0)</x:f>
        <x:v>0.17989417989417988</x:v>
      </x:c>
      <x:c r="P169" s="12" t="str">
        <x:v>배송중</x:v>
      </x:c>
      <x:c r="Q169" s="12" t="str">
        <x:v>정하늘</x:v>
      </x:c>
    </x:row>
    <x:row r="170">
      <x:c r="A170" s="12" t="str">
        <x:v>ORD-2026-0169</x:v>
      </x:c>
      <x:c r="B170" s="13" t="n">
        <x:v>46024</x:v>
      </x:c>
      <x:c r="C170" s="12" t="str">
        <x:v>대한국제</x:v>
      </x:c>
      <x:c r="D170" s="12" t="str">
        <x:v>경기</x:v>
      </x:c>
      <x:c r="E170" s="12" t="str">
        <x:v>B2B</x:v>
      </x:c>
      <x:c r="F170" s="12" t="str">
        <x:v>NB-001</x:v>
      </x:c>
      <x:c r="G170" s="12" t="str">
        <x:v>NovaBook Air 14</x:v>
      </x:c>
      <x:c r="H170" s="12" t="str">
        <x:v>노트북</x:v>
      </x:c>
      <x:c r="I170" s="12" t="n">
        <x:v>4</x:v>
      </x:c>
      <x:c r="J170" s="15" t="n">
        <x:v>980000</x:v>
      </x:c>
      <x:c r="K170" s="17" t="n">
        <x:v>0.03</x:v>
      </x:c>
      <x:c r="L170" s="15" t="n">
        <x:f>I170*J170*(1-K170)</x:f>
        <x:v>3802400</x:v>
      </x:c>
      <x:c r="M170" s="15" t="n">
        <x:v>720000</x:v>
      </x:c>
      <x:c r="N170" s="15" t="n">
        <x:f>L170-(I170*M170)</x:f>
        <x:v>922400</x:v>
      </x:c>
      <x:c r="O170" s="19" t="n">
        <x:f>IFERROR(N170/L170,0)</x:f>
        <x:v>0.2425836313907006</x:v>
      </x:c>
      <x:c r="P170" s="12" t="str">
        <x:v>배송완료</x:v>
      </x:c>
      <x:c r="Q170" s="12" t="str">
        <x:v>박지훈</x:v>
      </x:c>
    </x:row>
    <x:row r="171">
      <x:c r="A171" s="12" t="str">
        <x:v>ORD-2026-0170</x:v>
      </x:c>
      <x:c r="B171" s="13" t="n">
        <x:v>46024</x:v>
      </x:c>
      <x:c r="C171" s="12" t="str">
        <x:v>그린물류</x:v>
      </x:c>
      <x:c r="D171" s="12" t="str">
        <x:v>경기</x:v>
      </x:c>
      <x:c r="E171" s="12" t="str">
        <x:v>오프라인</x:v>
      </x:c>
      <x:c r="F171" s="12" t="str">
        <x:v>NB-002</x:v>
      </x:c>
      <x:c r="G171" s="12" t="str">
        <x:v>NovaBook Pro 16</x:v>
      </x:c>
      <x:c r="H171" s="12" t="str">
        <x:v>노트북</x:v>
      </x:c>
      <x:c r="I171" s="12" t="n">
        <x:v>8</x:v>
      </x:c>
      <x:c r="J171" s="15" t="n">
        <x:v>1680000</x:v>
      </x:c>
      <x:c r="K171" s="17" t="n">
        <x:v>0.15</x:v>
      </x:c>
      <x:c r="L171" s="15" t="n">
        <x:f>I171*J171*(1-K171)</x:f>
        <x:v>11424000</x:v>
      </x:c>
      <x:c r="M171" s="15" t="n">
        <x:v>1240000</x:v>
      </x:c>
      <x:c r="N171" s="15" t="n">
        <x:f>L171-(I171*M171)</x:f>
        <x:v>1504000</x:v>
      </x:c>
      <x:c r="O171" s="19" t="n">
        <x:f>IFERROR(N171/L171,0)</x:f>
        <x:v>0.13165266106442577</x:v>
      </x:c>
      <x:c r="P171" s="12" t="str">
        <x:v>배송중</x:v>
      </x:c>
      <x:c r="Q171" s="12" t="str">
        <x:v>정하늘</x:v>
      </x:c>
    </x:row>
    <x:row r="172">
      <x:c r="A172" s="12" t="str">
        <x:v>ORD-2026-0171</x:v>
      </x:c>
      <x:c r="B172" s="13" t="n">
        <x:v>46151</x:v>
      </x:c>
      <x:c r="C172" s="12" t="str">
        <x:v>그린물류</x:v>
      </x:c>
      <x:c r="D172" s="12" t="str">
        <x:v>강원</x:v>
      </x:c>
      <x:c r="E172" s="12" t="str">
        <x:v>온라인</x:v>
      </x:c>
      <x:c r="F172" s="12" t="str">
        <x:v>MN-002</x:v>
      </x:c>
      <x:c r="G172" s="12" t="str">
        <x:v>Vision UltraWide 34</x:v>
      </x:c>
      <x:c r="H172" s="12" t="str">
        <x:v>모니터</x:v>
      </x:c>
      <x:c r="I172" s="12" t="n">
        <x:v>6</x:v>
      </x:c>
      <x:c r="J172" s="15" t="n">
        <x:v>710000</x:v>
      </x:c>
      <x:c r="K172" s="17" t="n">
        <x:v>0</x:v>
      </x:c>
      <x:c r="L172" s="15" t="n">
        <x:f>I172*J172*(1-K172)</x:f>
        <x:v>4260000</x:v>
      </x:c>
      <x:c r="M172" s="15" t="n">
        <x:v>505000</x:v>
      </x:c>
      <x:c r="N172" s="15" t="n">
        <x:f>L172-(I172*M172)</x:f>
        <x:v>1230000</x:v>
      </x:c>
      <x:c r="O172" s="19" t="n">
        <x:f>IFERROR(N172/L172,0)</x:f>
        <x:v>0.2887323943661972</x:v>
      </x:c>
      <x:c r="P172" s="12" t="str">
        <x:v>배송중</x:v>
      </x:c>
      <x:c r="Q172" s="12" t="str">
        <x:v>김민준</x:v>
      </x:c>
    </x:row>
    <x:row r="173">
      <x:c r="A173" s="12" t="str">
        <x:v>ORD-2026-0172</x:v>
      </x:c>
      <x:c r="B173" s="13" t="n">
        <x:v>46042</x:v>
      </x:c>
      <x:c r="C173" s="12" t="str">
        <x:v>그린물류</x:v>
      </x:c>
      <x:c r="D173" s="12" t="str">
        <x:v>호남</x:v>
      </x:c>
      <x:c r="E173" s="12" t="str">
        <x:v>마켓플레이스</x:v>
      </x:c>
      <x:c r="F173" s="12" t="str">
        <x:v>SW-001</x:v>
      </x:c>
      <x:c r="G173" s="12" t="str">
        <x:v>Office Suite Annual</x:v>
      </x:c>
      <x:c r="H173" s="12" t="str">
        <x:v>소프트웨어</x:v>
      </x:c>
      <x:c r="I173" s="12" t="n">
        <x:v>6</x:v>
      </x:c>
      <x:c r="J173" s="15" t="n">
        <x:v>148000</x:v>
      </x:c>
      <x:c r="K173" s="17" t="n">
        <x:v>0.1</x:v>
      </x:c>
      <x:c r="L173" s="15" t="n">
        <x:f>I173*J173*(1-K173)</x:f>
        <x:v>799200</x:v>
      </x:c>
      <x:c r="M173" s="15" t="n">
        <x:v>42000</x:v>
      </x:c>
      <x:c r="N173" s="15" t="n">
        <x:f>L173-(I173*M173)</x:f>
        <x:v>547200</x:v>
      </x:c>
      <x:c r="O173" s="19" t="n">
        <x:f>IFERROR(N173/L173,0)</x:f>
        <x:v>0.6846846846846847</x:v>
      </x:c>
      <x:c r="P173" s="12" t="str">
        <x:v>취소</x:v>
      </x:c>
      <x:c r="Q173" s="12" t="str">
        <x:v>오세훈</x:v>
      </x:c>
    </x:row>
    <x:row r="174">
      <x:c r="A174" s="12" t="str">
        <x:v>ORD-2026-0173</x:v>
      </x:c>
      <x:c r="B174" s="13" t="n">
        <x:v>46097</x:v>
      </x:c>
      <x:c r="C174" s="12" t="str">
        <x:v>한빛테크</x:v>
      </x:c>
      <x:c r="D174" s="12" t="str">
        <x:v>충청</x:v>
      </x:c>
      <x:c r="E174" s="12" t="str">
        <x:v>오프라인</x:v>
      </x:c>
      <x:c r="F174" s="12" t="str">
        <x:v>AC-003</x:v>
      </x:c>
      <x:c r="G174" s="12" t="str">
        <x:v>USB-C Dock</x:v>
      </x:c>
      <x:c r="H174" s="12" t="str">
        <x:v>주변기기</x:v>
      </x:c>
      <x:c r="I174" s="12" t="n">
        <x:v>2</x:v>
      </x:c>
      <x:c r="J174" s="15" t="n">
        <x:v>189000</x:v>
      </x:c>
      <x:c r="K174" s="17" t="n">
        <x:v>0.05</x:v>
      </x:c>
      <x:c r="L174" s="15" t="n">
        <x:f>I174*J174*(1-K174)</x:f>
        <x:v>359100</x:v>
      </x:c>
      <x:c r="M174" s="15" t="n">
        <x:v>116000</x:v>
      </x:c>
      <x:c r="N174" s="15" t="n">
        <x:f>L174-(I174*M174)</x:f>
        <x:v>127100</x:v>
      </x:c>
      <x:c r="O174" s="19" t="n">
        <x:f>IFERROR(N174/L174,0)</x:f>
        <x:v>0.3539404065719855</x:v>
      </x:c>
      <x:c r="P174" s="12" t="str">
        <x:v>처리중</x:v>
      </x:c>
      <x:c r="Q174" s="12" t="str">
        <x:v>최유진</x:v>
      </x:c>
    </x:row>
    <x:row r="175">
      <x:c r="A175" s="12" t="str">
        <x:v>ORD-2026-0174</x:v>
      </x:c>
      <x:c r="B175" s="13" t="n">
        <x:v>46045</x:v>
      </x:c>
      <x:c r="C175" s="12" t="str">
        <x:v>미래상사</x:v>
      </x:c>
      <x:c r="D175" s="12" t="str">
        <x:v>경기</x:v>
      </x:c>
      <x:c r="E175" s="12" t="str">
        <x:v>마켓플레이스</x:v>
      </x:c>
      <x:c r="F175" s="12" t="str">
        <x:v>AC-002</x:v>
      </x:c>
      <x:c r="G175" s="12" t="str">
        <x:v>Wireless Mouse</x:v>
      </x:c>
      <x:c r="H175" s="12" t="str">
        <x:v>주변기기</x:v>
      </x:c>
      <x:c r="I175" s="12" t="n">
        <x:v>7</x:v>
      </x:c>
      <x:c r="J175" s="15" t="n">
        <x:v>69000</x:v>
      </x:c>
      <x:c r="K175" s="17" t="n">
        <x:v>0.2</x:v>
      </x:c>
      <x:c r="L175" s="15" t="n">
        <x:f>I175*J175*(1-K175)</x:f>
        <x:v>386400</x:v>
      </x:c>
      <x:c r="M175" s="15" t="n">
        <x:v>35000</x:v>
      </x:c>
      <x:c r="N175" s="15" t="n">
        <x:f>L175-(I175*M175)</x:f>
        <x:v>141400</x:v>
      </x:c>
      <x:c r="O175" s="19" t="n">
        <x:f>IFERROR(N175/L175,0)</x:f>
        <x:v>0.36594202898550726</x:v>
      </x:c>
      <x:c r="P175" s="12" t="str">
        <x:v>처리중</x:v>
      </x:c>
      <x:c r="Q175" s="12" t="str">
        <x:v>최유진</x:v>
      </x:c>
    </x:row>
    <x:row r="176">
      <x:c r="A176" s="12" t="str">
        <x:v>ORD-2026-0175</x:v>
      </x:c>
      <x:c r="B176" s="13" t="n">
        <x:v>46043</x:v>
      </x:c>
      <x:c r="C176" s="12" t="str">
        <x:v>알파솔루션</x:v>
      </x:c>
      <x:c r="D176" s="12" t="str">
        <x:v>강원</x:v>
      </x:c>
      <x:c r="E176" s="12" t="str">
        <x:v>B2B</x:v>
      </x:c>
      <x:c r="F176" s="12" t="str">
        <x:v>SV-001</x:v>
      </x:c>
      <x:c r="G176" s="12" t="str">
        <x:v>Edge Server S1</x:v>
      </x:c>
      <x:c r="H176" s="12" t="str">
        <x:v>서버</x:v>
      </x:c>
      <x:c r="I176" s="12" t="n">
        <x:v>2</x:v>
      </x:c>
      <x:c r="J176" s="15" t="n">
        <x:v>4250000</x:v>
      </x:c>
      <x:c r="K176" s="17" t="n">
        <x:v>0.2</x:v>
      </x:c>
      <x:c r="L176" s="15" t="n">
        <x:f>I176*J176*(1-K176)</x:f>
        <x:v>6800000</x:v>
      </x:c>
      <x:c r="M176" s="15" t="n">
        <x:v>3380000</x:v>
      </x:c>
      <x:c r="N176" s="15" t="n">
        <x:f>L176-(I176*M176)</x:f>
        <x:v>40000</x:v>
      </x:c>
      <x:c r="O176" s="19" t="n">
        <x:f>IFERROR(N176/L176,0)</x:f>
        <x:v>0.0058823529411764705</x:v>
      </x:c>
      <x:c r="P176" s="12" t="str">
        <x:v>배송완료</x:v>
      </x:c>
      <x:c r="Q176" s="12" t="str">
        <x:v>박지훈</x:v>
      </x:c>
    </x:row>
    <x:row r="177">
      <x:c r="A177" s="12" t="str">
        <x:v>ORD-2026-0176</x:v>
      </x:c>
      <x:c r="B177" s="13" t="n">
        <x:v>46042</x:v>
      </x:c>
      <x:c r="C177" s="12" t="str">
        <x:v>스마트팩토리</x:v>
      </x:c>
      <x:c r="D177" s="12" t="str">
        <x:v>경기</x:v>
      </x:c>
      <x:c r="E177" s="12" t="str">
        <x:v>B2B</x:v>
      </x:c>
      <x:c r="F177" s="12" t="str">
        <x:v>MN-001</x:v>
      </x:c>
      <x:c r="G177" s="12" t="str">
        <x:v>Vision 27Q</x:v>
      </x:c>
      <x:c r="H177" s="12" t="str">
        <x:v>모니터</x:v>
      </x:c>
      <x:c r="I177" s="12" t="n">
        <x:v>2</x:v>
      </x:c>
      <x:c r="J177" s="15" t="n">
        <x:v>420000</x:v>
      </x:c>
      <x:c r="K177" s="17" t="n">
        <x:v>0.1</x:v>
      </x:c>
      <x:c r="L177" s="15" t="n">
        <x:f>I177*J177*(1-K177)</x:f>
        <x:v>756000</x:v>
      </x:c>
      <x:c r="M177" s="15" t="n">
        <x:v>285000</x:v>
      </x:c>
      <x:c r="N177" s="15" t="n">
        <x:f>L177-(I177*M177)</x:f>
        <x:v>186000</x:v>
      </x:c>
      <x:c r="O177" s="19" t="n">
        <x:f>IFERROR(N177/L177,0)</x:f>
        <x:v>0.24603174603174602</x:v>
      </x:c>
      <x:c r="P177" s="12" t="str">
        <x:v>배송완료</x:v>
      </x:c>
      <x:c r="Q177" s="12" t="str">
        <x:v>오세훈</x:v>
      </x:c>
    </x:row>
    <x:row r="178">
      <x:c r="A178" s="12" t="str">
        <x:v>ORD-2026-0177</x:v>
      </x:c>
      <x:c r="B178" s="13" t="n">
        <x:v>46083</x:v>
      </x:c>
      <x:c r="C178" s="12" t="str">
        <x:v>알파솔루션</x:v>
      </x:c>
      <x:c r="D178" s="12" t="str">
        <x:v>경기</x:v>
      </x:c>
      <x:c r="E178" s="12" t="str">
        <x:v>오프라인</x:v>
      </x:c>
      <x:c r="F178" s="12" t="str">
        <x:v>MN-001</x:v>
      </x:c>
      <x:c r="G178" s="12" t="str">
        <x:v>Vision 27Q</x:v>
      </x:c>
      <x:c r="H178" s="12" t="str">
        <x:v>모니터</x:v>
      </x:c>
      <x:c r="I178" s="12" t="n">
        <x:v>2</x:v>
      </x:c>
      <x:c r="J178" s="15" t="n">
        <x:v>420000</x:v>
      </x:c>
      <x:c r="K178" s="17" t="n">
        <x:v>0</x:v>
      </x:c>
      <x:c r="L178" s="15" t="n">
        <x:f>I178*J178*(1-K178)</x:f>
        <x:v>840000</x:v>
      </x:c>
      <x:c r="M178" s="15" t="n">
        <x:v>285000</x:v>
      </x:c>
      <x:c r="N178" s="15" t="n">
        <x:f>L178-(I178*M178)</x:f>
        <x:v>270000</x:v>
      </x:c>
      <x:c r="O178" s="19" t="n">
        <x:f>IFERROR(N178/L178,0)</x:f>
        <x:v>0.32142857142857145</x:v>
      </x:c>
      <x:c r="P178" s="12" t="str">
        <x:v>처리중</x:v>
      </x:c>
      <x:c r="Q178" s="12" t="str">
        <x:v>이서연</x:v>
      </x:c>
    </x:row>
    <x:row r="179">
      <x:c r="A179" s="12" t="str">
        <x:v>ORD-2026-0178</x:v>
      </x:c>
      <x:c r="B179" s="13" t="n">
        <x:v>46068</x:v>
      </x:c>
      <x:c r="C179" s="12" t="str">
        <x:v>비전교육</x:v>
      </x:c>
      <x:c r="D179" s="12" t="str">
        <x:v>호남</x:v>
      </x:c>
      <x:c r="E179" s="12" t="str">
        <x:v>마켓플레이스</x:v>
      </x:c>
      <x:c r="F179" s="12" t="str">
        <x:v>NB-002</x:v>
      </x:c>
      <x:c r="G179" s="12" t="str">
        <x:v>NovaBook Pro 16</x:v>
      </x:c>
      <x:c r="H179" s="12" t="str">
        <x:v>노트북</x:v>
      </x:c>
      <x:c r="I179" s="12" t="n">
        <x:v>8</x:v>
      </x:c>
      <x:c r="J179" s="15" t="n">
        <x:v>1680000</x:v>
      </x:c>
      <x:c r="K179" s="17" t="n">
        <x:v>0.05</x:v>
      </x:c>
      <x:c r="L179" s="15" t="n">
        <x:f>I179*J179*(1-K179)</x:f>
        <x:v>12768000</x:v>
      </x:c>
      <x:c r="M179" s="15" t="n">
        <x:v>1240000</x:v>
      </x:c>
      <x:c r="N179" s="15" t="n">
        <x:f>L179-(I179*M179)</x:f>
        <x:v>2848000</x:v>
      </x:c>
      <x:c r="O179" s="19" t="n">
        <x:f>IFERROR(N179/L179,0)</x:f>
        <x:v>0.22305764411027568</x:v>
      </x:c>
      <x:c r="P179" s="12" t="str">
        <x:v>취소</x:v>
      </x:c>
      <x:c r="Q179" s="12" t="str">
        <x:v>정하늘</x:v>
      </x:c>
    </x:row>
    <x:row r="180">
      <x:c r="A180" s="12" t="str">
        <x:v>ORD-2026-0179</x:v>
      </x:c>
      <x:c r="B180" s="13" t="n">
        <x:v>46105</x:v>
      </x:c>
      <x:c r="C180" s="12" t="str">
        <x:v>오로라랩</x:v>
      </x:c>
      <x:c r="D180" s="12" t="str">
        <x:v>서울</x:v>
      </x:c>
      <x:c r="E180" s="12" t="str">
        <x:v>마켓플레이스</x:v>
      </x:c>
      <x:c r="F180" s="12" t="str">
        <x:v>SV-002</x:v>
      </x:c>
      <x:c r="G180" s="12" t="str">
        <x:v>GPU Server G2</x:v>
      </x:c>
      <x:c r="H180" s="12" t="str">
        <x:v>서버</x:v>
      </x:c>
      <x:c r="I180" s="12" t="n">
        <x:v>2</x:v>
      </x:c>
      <x:c r="J180" s="15" t="n">
        <x:v>11800000</x:v>
      </x:c>
      <x:c r="K180" s="17" t="n">
        <x:v>0</x:v>
      </x:c>
      <x:c r="L180" s="15" t="n">
        <x:f>I180*J180*(1-K180)</x:f>
        <x:v>23600000</x:v>
      </x:c>
      <x:c r="M180" s="15" t="n">
        <x:v>9740000</x:v>
      </x:c>
      <x:c r="N180" s="15" t="n">
        <x:f>L180-(I180*M180)</x:f>
        <x:v>4120000</x:v>
      </x:c>
      <x:c r="O180" s="19" t="n">
        <x:f>IFERROR(N180/L180,0)</x:f>
        <x:v>0.17457627118644067</x:v>
      </x:c>
      <x:c r="P180" s="12" t="str">
        <x:v>배송중</x:v>
      </x:c>
      <x:c r="Q180" s="12" t="str">
        <x:v>오세훈</x:v>
      </x:c>
    </x:row>
    <x:row r="181">
      <x:c r="A181" s="12" t="str">
        <x:v>ORD-2026-0180</x:v>
      </x:c>
      <x:c r="B181" s="13" t="n">
        <x:v>46226</x:v>
      </x:c>
      <x:c r="C181" s="12" t="str">
        <x:v>한빛테크</x:v>
      </x:c>
      <x:c r="D181" s="12" t="str">
        <x:v>충청</x:v>
      </x:c>
      <x:c r="E181" s="12" t="str">
        <x:v>온라인</x:v>
      </x:c>
      <x:c r="F181" s="12" t="str">
        <x:v>AC-001</x:v>
      </x:c>
      <x:c r="G181" s="12" t="str">
        <x:v>Mechanical Keyboard</x:v>
      </x:c>
      <x:c r="H181" s="12" t="str">
        <x:v>주변기기</x:v>
      </x:c>
      <x:c r="I181" s="12" t="n">
        <x:v>5</x:v>
      </x:c>
      <x:c r="J181" s="15" t="n">
        <x:v>129000</x:v>
      </x:c>
      <x:c r="K181" s="17" t="n">
        <x:v>0.1</x:v>
      </x:c>
      <x:c r="L181" s="15" t="n">
        <x:f>I181*J181*(1-K181)</x:f>
        <x:v>580500</x:v>
      </x:c>
      <x:c r="M181" s="15" t="n">
        <x:v>72000</x:v>
      </x:c>
      <x:c r="N181" s="15" t="n">
        <x:f>L181-(I181*M181)</x:f>
        <x:v>220500</x:v>
      </x:c>
      <x:c r="O181" s="19" t="n">
        <x:f>IFERROR(N181/L181,0)</x:f>
        <x:v>0.3798449612403101</x:v>
      </x:c>
      <x:c r="P181" s="12" t="str">
        <x:v>배송완료</x:v>
      </x:c>
      <x:c r="Q181" s="12" t="str">
        <x:v>최유진</x:v>
      </x:c>
    </x:row>
  </x:sheetData>
  <x:conditionalFormatting sqref="K2:K18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O2:O181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{3E6C03CD-5191-78AC-737D-7CE312498B63}</x14:id>
        </x:ext>
      </x:extLst>
    </x:cfRule>
  </x:conditionalFormatting>
  <x:dataValidations count="1">
    <x:dataValidation type="list" sqref="P2:P181">
      <x:formula1>"배송완료,배송중,처리중,취소"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850f7cc9f247b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3E6C03CD-5191-78AC-737D-7CE312498B63}">
            <x14:dataBar gradient="1">
              <x14:cfvo type="min"/>
              <x14:cfvo type="max"/>
              <x14:fillColor rgb="FF70AD47"/>
            </x14:dataBar>
          </x14:cfRule>
          <xm:sqref>O2:O181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16" hidden="0" customWidth="1"/>
    <x:col min="11" max="11" width="14" hidden="0" customWidth="1"/>
  </x:cols>
  <x:sheetData>
    <x:row r="1">
      <x:c r="A1" s="6" t="str">
        <x:v>SKU</x:v>
      </x:c>
      <x:c r="B1" s="6" t="str">
        <x:v>Product</x:v>
      </x:c>
      <x:c r="C1" s="6" t="str">
        <x:v>Category</x:v>
      </x:c>
      <x:c r="D1" s="6" t="str">
        <x:v>Supplier</x:v>
      </x:c>
      <x:c r="E1" s="6" t="str">
        <x:v>Current_Stock</x:v>
      </x:c>
      <x:c r="F1" s="6" t="str">
        <x:v>Reorder_Point</x:v>
      </x:c>
      <x:c r="G1" s="6" t="str">
        <x:v>Unit_Cost</x:v>
      </x:c>
      <x:c r="H1" s="6" t="str">
        <x:v>Stock_Status</x:v>
      </x:c>
      <x:c r="I1" s="6" t="str">
        <x:v>Recommended_Order_Qty</x:v>
      </x:c>
      <x:c r="J1" s="6" t="str">
        <x:v>Inventory_Value</x:v>
      </x:c>
      <x:c r="K1" s="6" t="str">
        <x:v>Last_Updated</x:v>
      </x:c>
    </x:row>
    <x:row r="2">
      <x:c r="A2" s="12" t="str">
        <x:v>NB-001</x:v>
      </x:c>
      <x:c r="B2" s="12" t="str">
        <x:v>NovaBook Air 14</x:v>
      </x:c>
      <x:c r="C2" s="12" t="str">
        <x:v>노트북</x:v>
      </x:c>
      <x:c r="D2" s="12" t="str">
        <x:v>동아유통</x:v>
      </x:c>
      <x:c r="E2" s="12" t="n">
        <x:v>62</x:v>
      </x:c>
      <x:c r="F2" s="12" t="n">
        <x:v>15</x:v>
      </x:c>
      <x:c r="G2" s="15" t="n">
        <x:v>720000</x:v>
      </x:c>
      <x:c r="H2" s="12" t="str">
        <x:f>IF(E2&lt;=F2,"발주필요",IF(E2&lt;=F2*1.5,"주의","정상"))</x:f>
        <x:v>정상</x:v>
      </x:c>
      <x:c r="I2" s="12" t="n">
        <x:f>MAX(0,F2*2-E2)</x:f>
        <x:v>0</x:v>
      </x:c>
      <x:c r="J2" s="15" t="n">
        <x:f>E2*G2</x:f>
        <x:v>44640000</x:v>
      </x:c>
      <x:c r="K2" s="13" t="n">
        <x:v>46228</x:v>
      </x:c>
    </x:row>
    <x:row r="3">
      <x:c r="A3" s="12" t="str">
        <x:v>NB-002</x:v>
      </x:c>
      <x:c r="B3" s="12" t="str">
        <x:v>NovaBook Pro 16</x:v>
      </x:c>
      <x:c r="C3" s="12" t="str">
        <x:v>노트북</x:v>
      </x:c>
      <x:c r="D3" s="12" t="str">
        <x:v>동아유통</x:v>
      </x:c>
      <x:c r="E3" s="12" t="n">
        <x:v>52</x:v>
      </x:c>
      <x:c r="F3" s="12" t="n">
        <x:v>25</x:v>
      </x:c>
      <x:c r="G3" s="15" t="n">
        <x:v>1240000</x:v>
      </x:c>
      <x:c r="H3" s="12" t="str">
        <x:f>IF(E3&lt;=F3,"발주필요",IF(E3&lt;=F3*1.5,"주의","정상"))</x:f>
        <x:v>정상</x:v>
      </x:c>
      <x:c r="I3" s="12" t="n">
        <x:f>MAX(0,F3*2-E3)</x:f>
        <x:v>0</x:v>
      </x:c>
      <x:c r="J3" s="15" t="n">
        <x:f>E3*G3</x:f>
        <x:v>64480000</x:v>
      </x:c>
      <x:c r="K3" s="13" t="n">
        <x:v>46228</x:v>
      </x:c>
    </x:row>
    <x:row r="4">
      <x:c r="A4" s="12" t="str">
        <x:v>MN-001</x:v>
      </x:c>
      <x:c r="B4" s="12" t="str">
        <x:v>Vision 27Q</x:v>
      </x:c>
      <x:c r="C4" s="12" t="str">
        <x:v>모니터</x:v>
      </x:c>
      <x:c r="D4" s="12" t="str">
        <x:v>네오서플라이</x:v>
      </x:c>
      <x:c r="E4" s="12" t="n">
        <x:v>87</x:v>
      </x:c>
      <x:c r="F4" s="12" t="n">
        <x:v>15</x:v>
      </x:c>
      <x:c r="G4" s="15" t="n">
        <x:v>285000</x:v>
      </x:c>
      <x:c r="H4" s="12" t="str">
        <x:f>IF(E4&lt;=F4,"발주필요",IF(E4&lt;=F4*1.5,"주의","정상"))</x:f>
        <x:v>정상</x:v>
      </x:c>
      <x:c r="I4" s="12" t="n">
        <x:f>MAX(0,F4*2-E4)</x:f>
        <x:v>0</x:v>
      </x:c>
      <x:c r="J4" s="15" t="n">
        <x:f>E4*G4</x:f>
        <x:v>24795000</x:v>
      </x:c>
      <x:c r="K4" s="13" t="n">
        <x:v>46228</x:v>
      </x:c>
    </x:row>
    <x:row r="5">
      <x:c r="A5" s="12" t="str">
        <x:v>MN-002</x:v>
      </x:c>
      <x:c r="B5" s="12" t="str">
        <x:v>Vision UltraWide 34</x:v>
      </x:c>
      <x:c r="C5" s="12" t="str">
        <x:v>모니터</x:v>
      </x:c>
      <x:c r="D5" s="12" t="str">
        <x:v>글로벌IT</x:v>
      </x:c>
      <x:c r="E5" s="12" t="n">
        <x:v>81</x:v>
      </x:c>
      <x:c r="F5" s="12" t="n">
        <x:v>40</x:v>
      </x:c>
      <x:c r="G5" s="15" t="n">
        <x:v>505000</x:v>
      </x:c>
      <x:c r="H5" s="12" t="str">
        <x:f>IF(E5&lt;=F5,"발주필요",IF(E5&lt;=F5*1.5,"주의","정상"))</x:f>
        <x:v>정상</x:v>
      </x:c>
      <x:c r="I5" s="12" t="n">
        <x:f>MAX(0,F5*2-E5)</x:f>
        <x:v>0</x:v>
      </x:c>
      <x:c r="J5" s="15" t="n">
        <x:f>E5*G5</x:f>
        <x:v>40905000</x:v>
      </x:c>
      <x:c r="K5" s="13" t="n">
        <x:v>46228</x:v>
      </x:c>
    </x:row>
    <x:row r="6">
      <x:c r="A6" s="12" t="str">
        <x:v>AC-001</x:v>
      </x:c>
      <x:c r="B6" s="12" t="str">
        <x:v>Mechanical Keyboard</x:v>
      </x:c>
      <x:c r="C6" s="12" t="str">
        <x:v>주변기기</x:v>
      </x:c>
      <x:c r="D6" s="12" t="str">
        <x:v>네오서플라이</x:v>
      </x:c>
      <x:c r="E6" s="12" t="n">
        <x:v>64</x:v>
      </x:c>
      <x:c r="F6" s="12" t="n">
        <x:v>40</x:v>
      </x:c>
      <x:c r="G6" s="15" t="n">
        <x:v>72000</x:v>
      </x:c>
      <x:c r="H6" s="12" t="str">
        <x:f>IF(E6&lt;=F6,"발주필요",IF(E6&lt;=F6*1.5,"주의","정상"))</x:f>
        <x:v>정상</x:v>
      </x:c>
      <x:c r="I6" s="12" t="n">
        <x:f>MAX(0,F6*2-E6)</x:f>
        <x:v>16</x:v>
      </x:c>
      <x:c r="J6" s="15" t="n">
        <x:f>E6*G6</x:f>
        <x:v>4608000</x:v>
      </x:c>
      <x:c r="K6" s="13" t="n">
        <x:v>46228</x:v>
      </x:c>
    </x:row>
    <x:row r="7">
      <x:c r="A7" s="12" t="str">
        <x:v>AC-002</x:v>
      </x:c>
      <x:c r="B7" s="12" t="str">
        <x:v>Wireless Mouse</x:v>
      </x:c>
      <x:c r="C7" s="12" t="str">
        <x:v>주변기기</x:v>
      </x:c>
      <x:c r="D7" s="12" t="str">
        <x:v>네오서플라이</x:v>
      </x:c>
      <x:c r="E7" s="12" t="n">
        <x:v>10</x:v>
      </x:c>
      <x:c r="F7" s="12" t="n">
        <x:v>30</x:v>
      </x:c>
      <x:c r="G7" s="15" t="n">
        <x:v>35000</x:v>
      </x:c>
      <x:c r="H7" s="12" t="str">
        <x:f>IF(E7&lt;=F7,"발주필요",IF(E7&lt;=F7*1.5,"주의","정상"))</x:f>
        <x:v>발주필요</x:v>
      </x:c>
      <x:c r="I7" s="12" t="n">
        <x:f>MAX(0,F7*2-E7)</x:f>
        <x:v>50</x:v>
      </x:c>
      <x:c r="J7" s="15" t="n">
        <x:f>E7*G7</x:f>
        <x:v>350000</x:v>
      </x:c>
      <x:c r="K7" s="13" t="n">
        <x:v>46228</x:v>
      </x:c>
    </x:row>
    <x:row r="8">
      <x:c r="A8" s="12" t="str">
        <x:v>AC-003</x:v>
      </x:c>
      <x:c r="B8" s="12" t="str">
        <x:v>USB-C Dock</x:v>
      </x:c>
      <x:c r="C8" s="12" t="str">
        <x:v>주변기기</x:v>
      </x:c>
      <x:c r="D8" s="12" t="str">
        <x:v>코리아디바이스</x:v>
      </x:c>
      <x:c r="E8" s="12" t="n">
        <x:v>88</x:v>
      </x:c>
      <x:c r="F8" s="12" t="n">
        <x:v>20</x:v>
      </x:c>
      <x:c r="G8" s="15" t="n">
        <x:v>116000</x:v>
      </x:c>
      <x:c r="H8" s="12" t="str">
        <x:f>IF(E8&lt;=F8,"발주필요",IF(E8&lt;=F8*1.5,"주의","정상"))</x:f>
        <x:v>정상</x:v>
      </x:c>
      <x:c r="I8" s="12" t="n">
        <x:f>MAX(0,F8*2-E8)</x:f>
        <x:v>0</x:v>
      </x:c>
      <x:c r="J8" s="15" t="n">
        <x:f>E8*G8</x:f>
        <x:v>10208000</x:v>
      </x:c>
      <x:c r="K8" s="13" t="n">
        <x:v>46228</x:v>
      </x:c>
    </x:row>
    <x:row r="9">
      <x:c r="A9" s="12" t="str">
        <x:v>SW-001</x:v>
      </x:c>
      <x:c r="B9" s="12" t="str">
        <x:v>Office Suite Annual</x:v>
      </x:c>
      <x:c r="C9" s="12" t="str">
        <x:v>소프트웨어</x:v>
      </x:c>
      <x:c r="D9" s="12" t="str">
        <x:v>네오서플라이</x:v>
      </x:c>
      <x:c r="E9" s="12" t="n">
        <x:v>82</x:v>
      </x:c>
      <x:c r="F9" s="12" t="n">
        <x:v>30</x:v>
      </x:c>
      <x:c r="G9" s="15" t="n">
        <x:v>42000</x:v>
      </x:c>
      <x:c r="H9" s="12" t="str">
        <x:f>IF(E9&lt;=F9,"발주필요",IF(E9&lt;=F9*1.5,"주의","정상"))</x:f>
        <x:v>정상</x:v>
      </x:c>
      <x:c r="I9" s="12" t="n">
        <x:f>MAX(0,F9*2-E9)</x:f>
        <x:v>0</x:v>
      </x:c>
      <x:c r="J9" s="15" t="n">
        <x:f>E9*G9</x:f>
        <x:v>3444000</x:v>
      </x:c>
      <x:c r="K9" s="13" t="n">
        <x:v>46228</x:v>
      </x:c>
    </x:row>
    <x:row r="10">
      <x:c r="A10" s="12" t="str">
        <x:v>SV-001</x:v>
      </x:c>
      <x:c r="B10" s="12" t="str">
        <x:v>Edge Server S1</x:v>
      </x:c>
      <x:c r="C10" s="12" t="str">
        <x:v>서버</x:v>
      </x:c>
      <x:c r="D10" s="12" t="str">
        <x:v>글로벌IT</x:v>
      </x:c>
      <x:c r="E10" s="12" t="n">
        <x:v>24</x:v>
      </x:c>
      <x:c r="F10" s="12" t="n">
        <x:v>15</x:v>
      </x:c>
      <x:c r="G10" s="15" t="n">
        <x:v>3380000</x:v>
      </x:c>
      <x:c r="H10" s="12" t="str">
        <x:f>IF(E10&lt;=F10,"발주필요",IF(E10&lt;=F10*1.5,"주의","정상"))</x:f>
        <x:v>정상</x:v>
      </x:c>
      <x:c r="I10" s="12" t="n">
        <x:f>MAX(0,F10*2-E10)</x:f>
        <x:v>6</x:v>
      </x:c>
      <x:c r="J10" s="15" t="n">
        <x:f>E10*G10</x:f>
        <x:v>81120000</x:v>
      </x:c>
      <x:c r="K10" s="13" t="n">
        <x:v>46228</x:v>
      </x:c>
    </x:row>
    <x:row r="11">
      <x:c r="A11" s="12" t="str">
        <x:v>SV-002</x:v>
      </x:c>
      <x:c r="B11" s="12" t="str">
        <x:v>GPU Server G2</x:v>
      </x:c>
      <x:c r="C11" s="12" t="str">
        <x:v>서버</x:v>
      </x:c>
      <x:c r="D11" s="12" t="str">
        <x:v>동아유통</x:v>
      </x:c>
      <x:c r="E11" s="12" t="n">
        <x:v>18</x:v>
      </x:c>
      <x:c r="F11" s="12" t="n">
        <x:v>25</x:v>
      </x:c>
      <x:c r="G11" s="15" t="n">
        <x:v>9740000</x:v>
      </x:c>
      <x:c r="H11" s="12" t="str">
        <x:f>IF(E11&lt;=F11,"발주필요",IF(E11&lt;=F11*1.5,"주의","정상"))</x:f>
        <x:v>발주필요</x:v>
      </x:c>
      <x:c r="I11" s="12" t="n">
        <x:f>MAX(0,F11*2-E11)</x:f>
        <x:v>32</x:v>
      </x:c>
      <x:c r="J11" s="15" t="n">
        <x:f>E11*G11</x:f>
        <x:v>175320000</x:v>
      </x:c>
      <x:c r="K11" s="13" t="n">
        <x:v>46228</x:v>
      </x:c>
    </x:row>
  </x:sheetData>
  <x:conditionalFormatting sqref="H2:H11">
    <x:cfRule type="expression" dxfId="0" priority="1">
      <x:formula>H2="발주필요"</x:formula>
    </x:cfRule>
    <x:cfRule type="expression" dxfId="1" priority="2">
      <x:formula>H2="주의"</x:formula>
    </x:cfRule>
  </x:conditionalFormatting>
  <x:conditionalFormatting sqref="E2:E11">
    <x:cfRule type="dataBar" priority="3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{75187EE9-2A16-5A5E-76BC-21EEE32E1F4E}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ab358dcfbfa43c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75187EE9-2A16-5A5E-76BC-21EEE32E1F4E}">
            <x14:dataBar gradient="1">
              <x14:cfvo type="min"/>
              <x14:cfvo type="max"/>
              <x14:fillColor rgb="FF5B9BD5"/>
            </x14:dataBar>
          </x14:cfRule>
          <xm:sqref>E2:E11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12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1" hidden="0" customWidth="1"/>
    <x:col min="10" max="10" width="15" hidden="0" customWidth="1"/>
    <x:col min="11" max="11" width="14" hidden="0" customWidth="1"/>
    <x:col min="12" max="12" width="26" hidden="0" customWidth="1"/>
  </x:cols>
  <x:sheetData>
    <x:row r="1">
      <x:c r="A1" s="6" t="str">
        <x:v>Task_ID</x:v>
      </x:c>
      <x:c r="B1" s="6" t="str">
        <x:v>Workstream</x:v>
      </x:c>
      <x:c r="C1" s="6" t="str">
        <x:v>Task</x:v>
      </x:c>
      <x:c r="D1" s="6" t="str">
        <x:v>Owner</x:v>
      </x:c>
      <x:c r="E1" s="6" t="str">
        <x:v>Start_Date</x:v>
      </x:c>
      <x:c r="F1" s="6" t="str">
        <x:v>Due_Date</x:v>
      </x:c>
      <x:c r="G1" s="6" t="str">
        <x:v>Priority</x:v>
      </x:c>
      <x:c r="H1" s="6" t="str">
        <x:v>Status</x:v>
      </x:c>
      <x:c r="I1" s="6" t="str">
        <x:v>Progress</x:v>
      </x:c>
      <x:c r="J1" s="6" t="str">
        <x:v>Days_Remaining</x:v>
      </x:c>
      <x:c r="K1" s="6" t="str">
        <x:v>Schedule_Risk</x:v>
      </x:c>
      <x:c r="L1" s="6" t="str">
        <x:v>Notes</x:v>
      </x:c>
    </x:row>
    <x:row r="2">
      <x:c r="A2" s="12" t="str">
        <x:v>TASK-001</x:v>
      </x:c>
      <x:c r="B2" s="12" t="str">
        <x:v>데이터</x:v>
      </x:c>
      <x:c r="C2" s="12" t="str">
        <x:v>원천 주문 데이터 정합성 검사</x:v>
      </x:c>
      <x:c r="D2" s="12" t="str">
        <x:v>오세훈</x:v>
      </x:c>
      <x:c r="E2" s="13" t="n">
        <x:v>46220</x:v>
      </x:c>
      <x:c r="F2" s="13" t="n">
        <x:v>46245</x:v>
      </x:c>
      <x:c r="G2" s="12" t="str">
        <x:v>낮음</x:v>
      </x:c>
      <x:c r="H2" s="12" t="str">
        <x:v>진행중</x:v>
      </x:c>
      <x:c r="I2" s="17" t="n">
        <x:v>0.2</x:v>
      </x:c>
      <x:c r="J2" s="12" t="n">
        <x:f>F2-TODAY()</x:f>
        <x:v>14</x:v>
      </x:c>
      <x:c r="K2" s="12" t="str">
        <x:f>IF(H2="완료","완료",IF(J2&lt;0,"지연",IF(AND(J2&lt;=7,I2&lt;0.8),"주의","정상")))</x:f>
        <x:v>정상</x:v>
      </x:c>
      <x:c r="L2" s="12" t="str"/>
    </x:row>
    <x:row r="3">
      <x:c r="A3" s="12" t="str">
        <x:v>TASK-002</x:v>
      </x:c>
      <x:c r="B3" s="12" t="str">
        <x:v>데이터</x:v>
      </x:c>
      <x:c r="C3" s="12" t="str">
        <x:v>고객·상품 마스터 중복 제거</x:v>
      </x:c>
      <x:c r="D3" s="12" t="str">
        <x:v>박지훈</x:v>
      </x:c>
      <x:c r="E3" s="13" t="n">
        <x:v>46218</x:v>
      </x:c>
      <x:c r="F3" s="13" t="n">
        <x:v>46239</x:v>
      </x:c>
      <x:c r="G3" s="12" t="str">
        <x:v>보통</x:v>
      </x:c>
      <x:c r="H3" s="12" t="str">
        <x:v>보류</x:v>
      </x:c>
      <x:c r="I3" s="17" t="n">
        <x:v>0.1</x:v>
      </x:c>
      <x:c r="J3" s="12" t="n">
        <x:f>F3-TODAY()</x:f>
        <x:v>8</x:v>
      </x:c>
      <x:c r="K3" s="12" t="str">
        <x:f>IF(H3="완료","완료",IF(J3&lt;0,"지연",IF(AND(J3&lt;=7,I3&lt;0.8),"주의","정상")))</x:f>
        <x:v>정상</x:v>
      </x:c>
      <x:c r="L3" s="12" t="str"/>
    </x:row>
    <x:row r="4">
      <x:c r="A4" s="12" t="str">
        <x:v>TASK-003</x:v>
      </x:c>
      <x:c r="B4" s="12" t="str">
        <x:v>분석</x:v>
      </x:c>
      <x:c r="C4" s="12" t="str">
        <x:v>지역별 매출 KPI 정의</x:v>
      </x:c>
      <x:c r="D4" s="12" t="str">
        <x:v>정하늘</x:v>
      </x:c>
      <x:c r="E4" s="13" t="n">
        <x:v>46213</x:v>
      </x:c>
      <x:c r="F4" s="13" t="n">
        <x:v>46230</x:v>
      </x:c>
      <x:c r="G4" s="12" t="str">
        <x:v>긴급</x:v>
      </x:c>
      <x:c r="H4" s="12" t="str">
        <x:v>완료</x:v>
      </x:c>
      <x:c r="I4" s="17" t="n">
        <x:v>1</x:v>
      </x:c>
      <x:c r="J4" s="12" t="n">
        <x:f>F4-TODAY()</x:f>
        <x:v>-1</x:v>
      </x:c>
      <x:c r="K4" s="12" t="str">
        <x:f>IF(H4="완료","완료",IF(J4&lt;0,"지연",IF(AND(J4&lt;=7,I4&lt;0.8),"주의","정상")))</x:f>
        <x:v>완료</x:v>
      </x:c>
      <x:c r="L4" s="12" t="str"/>
    </x:row>
    <x:row r="5">
      <x:c r="A5" s="12" t="str">
        <x:v>TASK-004</x:v>
      </x:c>
      <x:c r="B5" s="12" t="str">
        <x:v>분석</x:v>
      </x:c>
      <x:c r="C5" s="12" t="str">
        <x:v>상품별 수익성 분석</x:v>
      </x:c>
      <x:c r="D5" s="12" t="str">
        <x:v>김민준</x:v>
      </x:c>
      <x:c r="E5" s="13" t="n">
        <x:v>46224</x:v>
      </x:c>
      <x:c r="F5" s="13" t="n">
        <x:v>46249</x:v>
      </x:c>
      <x:c r="G5" s="12" t="str">
        <x:v>낮음</x:v>
      </x:c>
      <x:c r="H5" s="12" t="str">
        <x:v>검토중</x:v>
      </x:c>
      <x:c r="I5" s="17" t="n">
        <x:v>0.9</x:v>
      </x:c>
      <x:c r="J5" s="12" t="n">
        <x:f>F5-TODAY()</x:f>
        <x:v>18</x:v>
      </x:c>
      <x:c r="K5" s="12" t="str">
        <x:f>IF(H5="완료","완료",IF(J5&lt;0,"지연",IF(AND(J5&lt;=7,I5&lt;0.8),"주의","정상")))</x:f>
        <x:v>정상</x:v>
      </x:c>
      <x:c r="L5" s="12" t="str"/>
    </x:row>
    <x:row r="6">
      <x:c r="A6" s="12" t="str">
        <x:v>TASK-005</x:v>
      </x:c>
      <x:c r="B6" s="12" t="str">
        <x:v>자동화</x:v>
      </x:c>
      <x:c r="C6" s="12" t="str">
        <x:v>xlwings 기본 실행기 구현</x:v>
      </x:c>
      <x:c r="D6" s="12" t="str">
        <x:v>김민준</x:v>
      </x:c>
      <x:c r="E6" s="13" t="n">
        <x:v>46213</x:v>
      </x:c>
      <x:c r="F6" s="13" t="n">
        <x:v>46226</x:v>
      </x:c>
      <x:c r="G6" s="12" t="str">
        <x:v>높음</x:v>
      </x:c>
      <x:c r="H6" s="12" t="str">
        <x:v>보류</x:v>
      </x:c>
      <x:c r="I6" s="17" t="n">
        <x:v>0.3</x:v>
      </x:c>
      <x:c r="J6" s="12" t="n">
        <x:f>F6-TODAY()</x:f>
        <x:v>-5</x:v>
      </x:c>
      <x:c r="K6" s="12" t="str">
        <x:f>IF(H6="완료","완료",IF(J6&lt;0,"지연",IF(AND(J6&lt;=7,I6&lt;0.8),"주의","정상")))</x:f>
        <x:v>지연</x:v>
      </x:c>
      <x:c r="L6" s="12" t="str"/>
    </x:row>
    <x:row r="7">
      <x:c r="A7" s="12" t="str">
        <x:v>TASK-006</x:v>
      </x:c>
      <x:c r="B7" s="12" t="str">
        <x:v>자동화</x:v>
      </x:c>
      <x:c r="C7" s="12" t="str">
        <x:v>자연어 명령 JSON 스키마 정의</x:v>
      </x:c>
      <x:c r="D7" s="12" t="str">
        <x:v>오세훈</x:v>
      </x:c>
      <x:c r="E7" s="13" t="n">
        <x:v>46215</x:v>
      </x:c>
      <x:c r="F7" s="13" t="n">
        <x:v>46229</x:v>
      </x:c>
      <x:c r="G7" s="12" t="str">
        <x:v>긴급</x:v>
      </x:c>
      <x:c r="H7" s="12" t="str">
        <x:v>완료</x:v>
      </x:c>
      <x:c r="I7" s="17" t="n">
        <x:v>1</x:v>
      </x:c>
      <x:c r="J7" s="12" t="n">
        <x:f>F7-TODAY()</x:f>
        <x:v>-2</x:v>
      </x:c>
      <x:c r="K7" s="12" t="str">
        <x:f>IF(H7="완료","완료",IF(J7&lt;0,"지연",IF(AND(J7&lt;=7,I7&lt;0.8),"주의","정상")))</x:f>
        <x:v>완료</x:v>
      </x:c>
      <x:c r="L7" s="12" t="str"/>
    </x:row>
    <x:row r="8">
      <x:c r="A8" s="12" t="str">
        <x:v>TASK-007</x:v>
      </x:c>
      <x:c r="B8" s="12" t="str">
        <x:v>자동화</x:v>
      </x:c>
      <x:c r="C8" s="12" t="str">
        <x:v>허용 작업 화이트리스트 구현</x:v>
      </x:c>
      <x:c r="D8" s="12" t="str">
        <x:v>오세훈</x:v>
      </x:c>
      <x:c r="E8" s="13" t="n">
        <x:v>46213</x:v>
      </x:c>
      <x:c r="F8" s="13" t="n">
        <x:v>46235</x:v>
      </x:c>
      <x:c r="G8" s="12" t="str">
        <x:v>긴급</x:v>
      </x:c>
      <x:c r="H8" s="12" t="str">
        <x:v>완료</x:v>
      </x:c>
      <x:c r="I8" s="17" t="n">
        <x:v>1</x:v>
      </x:c>
      <x:c r="J8" s="12" t="n">
        <x:f>F8-TODAY()</x:f>
        <x:v>4</x:v>
      </x:c>
      <x:c r="K8" s="12" t="str">
        <x:f>IF(H8="완료","완료",IF(J8&lt;0,"지연",IF(AND(J8&lt;=7,I8&lt;0.8),"주의","정상")))</x:f>
        <x:v>완료</x:v>
      </x:c>
      <x:c r="L8" s="12" t="str"/>
    </x:row>
    <x:row r="9">
      <x:c r="A9" s="12" t="str">
        <x:v>TASK-008</x:v>
      </x:c>
      <x:c r="B9" s="12" t="str">
        <x:v>자동화</x:v>
      </x:c>
      <x:c r="C9" s="12" t="str">
        <x:v>롤백 및 백업 로직 구현</x:v>
      </x:c>
      <x:c r="D9" s="12" t="str">
        <x:v>김민준</x:v>
      </x:c>
      <x:c r="E9" s="13" t="n">
        <x:v>46224</x:v>
      </x:c>
      <x:c r="F9" s="13" t="n">
        <x:v>46250</x:v>
      </x:c>
      <x:c r="G9" s="12" t="str">
        <x:v>보통</x:v>
      </x:c>
      <x:c r="H9" s="12" t="str">
        <x:v>완료</x:v>
      </x:c>
      <x:c r="I9" s="17" t="n">
        <x:v>1</x:v>
      </x:c>
      <x:c r="J9" s="12" t="n">
        <x:f>F9-TODAY()</x:f>
        <x:v>19</x:v>
      </x:c>
      <x:c r="K9" s="12" t="str">
        <x:f>IF(H9="완료","완료",IF(J9&lt;0,"지연",IF(AND(J9&lt;=7,I9&lt;0.8),"주의","정상")))</x:f>
        <x:v>완료</x:v>
      </x:c>
      <x:c r="L9" s="12" t="str"/>
    </x:row>
    <x:row r="10">
      <x:c r="A10" s="12" t="str">
        <x:v>TASK-009</x:v>
      </x:c>
      <x:c r="B10" s="12" t="str">
        <x:v>대시보드</x:v>
      </x:c>
      <x:c r="C10" s="12" t="str">
        <x:v>KPI 카드 구성</x:v>
      </x:c>
      <x:c r="D10" s="12" t="str">
        <x:v>이서연</x:v>
      </x:c>
      <x:c r="E10" s="13" t="n">
        <x:v>46213</x:v>
      </x:c>
      <x:c r="F10" s="13" t="n">
        <x:v>46223</x:v>
      </x:c>
      <x:c r="G10" s="12" t="str">
        <x:v>높음</x:v>
      </x:c>
      <x:c r="H10" s="12" t="str">
        <x:v>진행중</x:v>
      </x:c>
      <x:c r="I10" s="17" t="n">
        <x:v>0.5</x:v>
      </x:c>
      <x:c r="J10" s="12" t="n">
        <x:f>F10-TODAY()</x:f>
        <x:v>-8</x:v>
      </x:c>
      <x:c r="K10" s="12" t="str">
        <x:f>IF(H10="완료","완료",IF(J10&lt;0,"지연",IF(AND(J10&lt;=7,I10&lt;0.8),"주의","정상")))</x:f>
        <x:v>지연</x:v>
      </x:c>
      <x:c r="L10" s="12" t="str"/>
    </x:row>
    <x:row r="11">
      <x:c r="A11" s="12" t="str">
        <x:v>TASK-010</x:v>
      </x:c>
      <x:c r="B11" s="12" t="str">
        <x:v>대시보드</x:v>
      </x:c>
      <x:c r="C11" s="12" t="str">
        <x:v>월별 매출 추이 차트 구성</x:v>
      </x:c>
      <x:c r="D11" s="12" t="str">
        <x:v>정하늘</x:v>
      </x:c>
      <x:c r="E11" s="13" t="n">
        <x:v>46208</x:v>
      </x:c>
      <x:c r="F11" s="13" t="n">
        <x:v>46217</x:v>
      </x:c>
      <x:c r="G11" s="12" t="str">
        <x:v>긴급</x:v>
      </x:c>
      <x:c r="H11" s="12" t="str">
        <x:v>미착수</x:v>
      </x:c>
      <x:c r="I11" s="17" t="n">
        <x:v>0</x:v>
      </x:c>
      <x:c r="J11" s="12" t="n">
        <x:f>F11-TODAY()</x:f>
        <x:v>-14</x:v>
      </x:c>
      <x:c r="K11" s="12" t="str">
        <x:f>IF(H11="완료","완료",IF(J11&lt;0,"지연",IF(AND(J11&lt;=7,I11&lt;0.8),"주의","정상")))</x:f>
        <x:v>지연</x:v>
      </x:c>
      <x:c r="L11" s="12" t="str"/>
    </x:row>
    <x:row r="12">
      <x:c r="A12" s="12" t="str">
        <x:v>TASK-011</x:v>
      </x:c>
      <x:c r="B12" s="12" t="str">
        <x:v>대시보드</x:v>
      </x:c>
      <x:c r="C12" s="12" t="str">
        <x:v>재고 경고 위젯 구성</x:v>
      </x:c>
      <x:c r="D12" s="12" t="str">
        <x:v>이서연</x:v>
      </x:c>
      <x:c r="E12" s="13" t="n">
        <x:v>46214</x:v>
      </x:c>
      <x:c r="F12" s="13" t="n">
        <x:v>46238</x:v>
      </x:c>
      <x:c r="G12" s="12" t="str">
        <x:v>높음</x:v>
      </x:c>
      <x:c r="H12" s="12" t="str">
        <x:v>진행중</x:v>
      </x:c>
      <x:c r="I12" s="17" t="n">
        <x:v>0.8</x:v>
      </x:c>
      <x:c r="J12" s="12" t="n">
        <x:f>F12-TODAY()</x:f>
        <x:v>7</x:v>
      </x:c>
      <x:c r="K12" s="12" t="str">
        <x:f>IF(H12="완료","완료",IF(J12&lt;0,"지연",IF(AND(J12&lt;=7,I12&lt;0.8),"주의","정상")))</x:f>
        <x:v>정상</x:v>
      </x:c>
      <x:c r="L12" s="12" t="str"/>
    </x:row>
    <x:row r="13">
      <x:c r="A13" s="12" t="str">
        <x:v>TASK-012</x:v>
      </x:c>
      <x:c r="B13" s="12" t="str">
        <x:v>테스트</x:v>
      </x:c>
      <x:c r="C13" s="12" t="str">
        <x:v>셀 값 쓰기 테스트</x:v>
      </x:c>
      <x:c r="D13" s="12" t="str">
        <x:v>최유진</x:v>
      </x:c>
      <x:c r="E13" s="13" t="n">
        <x:v>46209</x:v>
      </x:c>
      <x:c r="F13" s="13" t="n">
        <x:v>46236</x:v>
      </x:c>
      <x:c r="G13" s="12" t="str">
        <x:v>긴급</x:v>
      </x:c>
      <x:c r="H13" s="12" t="str">
        <x:v>보류</x:v>
      </x:c>
      <x:c r="I13" s="17" t="n">
        <x:v>0.5</x:v>
      </x:c>
      <x:c r="J13" s="12" t="n">
        <x:f>F13-TODAY()</x:f>
        <x:v>5</x:v>
      </x:c>
      <x:c r="K13" s="12" t="str">
        <x:f>IF(H13="완료","완료",IF(J13&lt;0,"지연",IF(AND(J13&lt;=7,I13&lt;0.8),"주의","정상")))</x:f>
        <x:v>주의</x:v>
      </x:c>
      <x:c r="L13" s="12" t="str"/>
    </x:row>
    <x:row r="14">
      <x:c r="A14" s="12" t="str">
        <x:v>TASK-013</x:v>
      </x:c>
      <x:c r="B14" s="12" t="str">
        <x:v>테스트</x:v>
      </x:c>
      <x:c r="C14" s="12" t="str">
        <x:v>서식·조건부서식 테스트</x:v>
      </x:c>
      <x:c r="D14" s="12" t="str">
        <x:v>박지훈</x:v>
      </x:c>
      <x:c r="E14" s="13" t="n">
        <x:v>46217</x:v>
      </x:c>
      <x:c r="F14" s="13" t="n">
        <x:v>46233</x:v>
      </x:c>
      <x:c r="G14" s="12" t="str">
        <x:v>낮음</x:v>
      </x:c>
      <x:c r="H14" s="12" t="str">
        <x:v>진행중</x:v>
      </x:c>
      <x:c r="I14" s="17" t="n">
        <x:v>0.65</x:v>
      </x:c>
      <x:c r="J14" s="12" t="n">
        <x:f>F14-TODAY()</x:f>
        <x:v>2</x:v>
      </x:c>
      <x:c r="K14" s="12" t="str">
        <x:f>IF(H14="완료","완료",IF(J14&lt;0,"지연",IF(AND(J14&lt;=7,I14&lt;0.8),"주의","정상")))</x:f>
        <x:v>주의</x:v>
      </x:c>
      <x:c r="L14" s="12" t="str"/>
    </x:row>
    <x:row r="15">
      <x:c r="A15" s="12" t="str">
        <x:v>TASK-014</x:v>
      </x:c>
      <x:c r="B15" s="12" t="str">
        <x:v>테스트</x:v>
      </x:c>
      <x:c r="C15" s="12" t="str">
        <x:v>차트 생성 테스트</x:v>
      </x:c>
      <x:c r="D15" s="12" t="str">
        <x:v>이서연</x:v>
      </x:c>
      <x:c r="E15" s="13" t="n">
        <x:v>46211</x:v>
      </x:c>
      <x:c r="F15" s="13" t="n">
        <x:v>46233</x:v>
      </x:c>
      <x:c r="G15" s="12" t="str">
        <x:v>보통</x:v>
      </x:c>
      <x:c r="H15" s="12" t="str">
        <x:v>진행중</x:v>
      </x:c>
      <x:c r="I15" s="17" t="n">
        <x:v>0.5</x:v>
      </x:c>
      <x:c r="J15" s="12" t="n">
        <x:f>F15-TODAY()</x:f>
        <x:v>2</x:v>
      </x:c>
      <x:c r="K15" s="12" t="str">
        <x:f>IF(H15="완료","완료",IF(J15&lt;0,"지연",IF(AND(J15&lt;=7,I15&lt;0.8),"주의","정상")))</x:f>
        <x:v>주의</x:v>
      </x:c>
      <x:c r="L15" s="12" t="str"/>
    </x:row>
    <x:row r="16">
      <x:c r="A16" s="12" t="str">
        <x:v>TASK-015</x:v>
      </x:c>
      <x:c r="B16" s="12" t="str">
        <x:v>테스트</x:v>
      </x:c>
      <x:c r="C16" s="12" t="str">
        <x:v>중복 데이터 처리 테스트</x:v>
      </x:c>
      <x:c r="D16" s="12" t="str">
        <x:v>정하늘</x:v>
      </x:c>
      <x:c r="E16" s="13" t="n">
        <x:v>46222</x:v>
      </x:c>
      <x:c r="F16" s="13" t="n">
        <x:v>46241</x:v>
      </x:c>
      <x:c r="G16" s="12" t="str">
        <x:v>낮음</x:v>
      </x:c>
      <x:c r="H16" s="12" t="str">
        <x:v>완료</x:v>
      </x:c>
      <x:c r="I16" s="17" t="n">
        <x:v>1</x:v>
      </x:c>
      <x:c r="J16" s="12" t="n">
        <x:f>F16-TODAY()</x:f>
        <x:v>10</x:v>
      </x:c>
      <x:c r="K16" s="12" t="str">
        <x:f>IF(H16="완료","완료",IF(J16&lt;0,"지연",IF(AND(J16&lt;=7,I16&lt;0.8),"주의","정상")))</x:f>
        <x:v>완료</x:v>
      </x:c>
      <x:c r="L16" s="12" t="str"/>
    </x:row>
    <x:row r="17">
      <x:c r="A17" s="12" t="str">
        <x:v>TASK-016</x:v>
      </x:c>
      <x:c r="B17" s="12" t="str">
        <x:v>배포</x:v>
      </x:c>
      <x:c r="C17" s="12" t="str">
        <x:v>사용자 명령 예시 작성</x:v>
      </x:c>
      <x:c r="D17" s="12" t="str">
        <x:v>김민준</x:v>
      </x:c>
      <x:c r="E17" s="13" t="n">
        <x:v>46209</x:v>
      </x:c>
      <x:c r="F17" s="13" t="n">
        <x:v>46220</x:v>
      </x:c>
      <x:c r="G17" s="12" t="str">
        <x:v>낮음</x:v>
      </x:c>
      <x:c r="H17" s="12" t="str">
        <x:v>보류</x:v>
      </x:c>
      <x:c r="I17" s="17" t="n">
        <x:v>0.3</x:v>
      </x:c>
      <x:c r="J17" s="12" t="n">
        <x:f>F17-TODAY()</x:f>
        <x:v>-11</x:v>
      </x:c>
      <x:c r="K17" s="12" t="str">
        <x:f>IF(H17="완료","완료",IF(J17&lt;0,"지연",IF(AND(J17&lt;=7,I17&lt;0.8),"주의","정상")))</x:f>
        <x:v>지연</x:v>
      </x:c>
      <x:c r="L17" s="12" t="str"/>
    </x:row>
    <x:row r="18">
      <x:c r="A18" s="12" t="str">
        <x:v>TASK-017</x:v>
      </x:c>
      <x:c r="B18" s="12" t="str">
        <x:v>배포</x:v>
      </x:c>
      <x:c r="C18" s="12" t="str">
        <x:v>실행 로그 및 오류 메시지 정리</x:v>
      </x:c>
      <x:c r="D18" s="12" t="str">
        <x:v>박지훈</x:v>
      </x:c>
      <x:c r="E18" s="13" t="n">
        <x:v>46215</x:v>
      </x:c>
      <x:c r="F18" s="13" t="n">
        <x:v>46237</x:v>
      </x:c>
      <x:c r="G18" s="12" t="str">
        <x:v>긴급</x:v>
      </x:c>
      <x:c r="H18" s="12" t="str">
        <x:v>미착수</x:v>
      </x:c>
      <x:c r="I18" s="17" t="n">
        <x:v>0</x:v>
      </x:c>
      <x:c r="J18" s="12" t="n">
        <x:f>F18-TODAY()</x:f>
        <x:v>6</x:v>
      </x:c>
      <x:c r="K18" s="12" t="str">
        <x:f>IF(H18="완료","완료",IF(J18&lt;0,"지연",IF(AND(J18&lt;=7,I18&lt;0.8),"주의","정상")))</x:f>
        <x:v>주의</x:v>
      </x:c>
      <x:c r="L18" s="12" t="str"/>
    </x:row>
    <x:row r="19">
      <x:c r="A19" s="12" t="str">
        <x:v>TASK-018</x:v>
      </x:c>
      <x:c r="B19" s="12" t="str">
        <x:v>배포</x:v>
      </x:c>
      <x:c r="C19" s="12" t="str">
        <x:v>권한·보호 시트 예외 처리</x:v>
      </x:c>
      <x:c r="D19" s="12" t="str">
        <x:v>최유진</x:v>
      </x:c>
      <x:c r="E19" s="13" t="n">
        <x:v>46209</x:v>
      </x:c>
      <x:c r="F19" s="13" t="n">
        <x:v>46222</x:v>
      </x:c>
      <x:c r="G19" s="12" t="str">
        <x:v>긴급</x:v>
      </x:c>
      <x:c r="H19" s="12" t="str">
        <x:v>완료</x:v>
      </x:c>
      <x:c r="I19" s="17" t="n">
        <x:v>1</x:v>
      </x:c>
      <x:c r="J19" s="12" t="n">
        <x:f>F19-TODAY()</x:f>
        <x:v>-9</x:v>
      </x:c>
      <x:c r="K19" s="12" t="str">
        <x:f>IF(H19="완료","완료",IF(J19&lt;0,"지연",IF(AND(J19&lt;=7,I19&lt;0.8),"주의","정상")))</x:f>
        <x:v>완료</x:v>
      </x:c>
      <x:c r="L19" s="12" t="str"/>
    </x:row>
    <x:row r="20">
      <x:c r="A20" s="12" t="str">
        <x:v>TASK-019</x:v>
      </x:c>
      <x:c r="B20" s="12" t="str">
        <x:v>운영</x:v>
      </x:c>
      <x:c r="C20" s="12" t="str">
        <x:v>주간 리포트 자동 생성</x:v>
      </x:c>
      <x:c r="D20" s="12" t="str">
        <x:v>김민준</x:v>
      </x:c>
      <x:c r="E20" s="13" t="n">
        <x:v>46211</x:v>
      </x:c>
      <x:c r="F20" s="13" t="n">
        <x:v>46230</x:v>
      </x:c>
      <x:c r="G20" s="12" t="str">
        <x:v>낮음</x:v>
      </x:c>
      <x:c r="H20" s="12" t="str">
        <x:v>검토중</x:v>
      </x:c>
      <x:c r="I20" s="17" t="n">
        <x:v>0.9</x:v>
      </x:c>
      <x:c r="J20" s="12" t="n">
        <x:f>F20-TODAY()</x:f>
        <x:v>-1</x:v>
      </x:c>
      <x:c r="K20" s="12" t="str">
        <x:f>IF(H20="완료","완료",IF(J20&lt;0,"지연",IF(AND(J20&lt;=7,I20&lt;0.8),"주의","정상")))</x:f>
        <x:v>지연</x:v>
      </x:c>
      <x:c r="L20" s="12" t="str"/>
    </x:row>
    <x:row r="21">
      <x:c r="A21" s="12" t="str">
        <x:v>TASK-020</x:v>
      </x:c>
      <x:c r="B21" s="12" t="str">
        <x:v>운영</x:v>
      </x:c>
      <x:c r="C21" s="12" t="str">
        <x:v>월간 백업 파일 생성</x:v>
      </x:c>
      <x:c r="D21" s="12" t="str">
        <x:v>박지훈</x:v>
      </x:c>
      <x:c r="E21" s="13" t="n">
        <x:v>46220</x:v>
      </x:c>
      <x:c r="F21" s="13" t="n">
        <x:v>46236</x:v>
      </x:c>
      <x:c r="G21" s="12" t="str">
        <x:v>높음</x:v>
      </x:c>
      <x:c r="H21" s="12" t="str">
        <x:v>진행중</x:v>
      </x:c>
      <x:c r="I21" s="17" t="n">
        <x:v>0.65</x:v>
      </x:c>
      <x:c r="J21" s="12" t="n">
        <x:f>F21-TODAY()</x:f>
        <x:v>5</x:v>
      </x:c>
      <x:c r="K21" s="12" t="str">
        <x:f>IF(H21="완료","완료",IF(J21&lt;0,"지연",IF(AND(J21&lt;=7,I21&lt;0.8),"주의","정상")))</x:f>
        <x:v>주의</x:v>
      </x:c>
      <x:c r="L21" s="12" t="str"/>
    </x:row>
  </x:sheetData>
  <x:conditionalFormatting sqref="I2:I2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{62BFDF02-EFF5-73B5-F27A-9767CDF1CB36}</x14:id>
        </x:ext>
      </x:extLst>
    </x:cfRule>
  </x:conditionalFormatting>
  <x:conditionalFormatting sqref="K2:K21">
    <x:cfRule type="expression" dxfId="2" priority="2">
      <x:formula>K2="지연"</x:formula>
    </x:cfRule>
    <x:cfRule type="expression" dxfId="3" priority="3">
      <x:formula>K2="주의"</x:formula>
    </x:cfRule>
  </x:conditionalFormatting>
  <x:dataValidations count="2">
    <x:dataValidation type="list" sqref="G2:G21">
      <x:formula1>"긴급,높음,보통,낮음"</x:formula1>
    </x:dataValidation>
    <x:dataValidation type="list" sqref="H2:H21">
      <x:formula1>"미착수,진행중,검토중,완료,보류"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deec1799954ec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2BFDF02-EFF5-73B5-F27A-9767CDF1CB36}">
            <x14:dataBar gradient="1">
              <x14:cfvo type="min"/>
              <x14:cfvo type="max"/>
              <x14:fillColor rgb="FF70AD47"/>
            </x14:dataBar>
          </x14:cfRule>
          <xm:sqref>I2:I21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0" hidden="0" customWidth="1"/>
    <x:col min="4" max="4" width="18" hidden="0" customWidth="1"/>
    <x:col min="5" max="5" width="34" hidden="0" customWidth="1"/>
    <x:col min="6" max="6" width="30" hidden="0" customWidth="1"/>
    <x:col min="7" max="7" width="28" hidden="0" customWidth="1"/>
    <x:col min="8" max="8" width="14" hidden="0" customWidth="1"/>
  </x:cols>
  <x:sheetData>
    <x:row r="1">
      <x:c r="A1" s="24" t="str">
        <x:v>AI Excel 명령 센터</x:v>
      </x:c>
      <x:c r="B1" s="24"/>
      <x:c r="C1" s="24"/>
      <x:c r="D1" s="24"/>
      <x:c r="E1" s="24"/>
      <x:c r="F1" s="24"/>
      <x:c r="G1" s="24"/>
      <x:c r="H1" s="24"/>
    </x:row>
    <x:row r="2">
      <x:c r="A2" s="24"/>
      <x:c r="B2" s="24"/>
      <x:c r="C2" s="24"/>
      <x:c r="D2" s="24"/>
      <x:c r="E2" s="24"/>
      <x:c r="F2" s="24"/>
      <x:c r="G2" s="24"/>
      <x:c r="H2" s="24"/>
    </x:row>
    <x:row r="4">
      <x:c r="A4" s="32" t="str">
        <x:v>사용자 명령 입력</x:v>
      </x:c>
      <x:c r="B4" s="32" t="str">
        <x:v>아래 예시처럼 자연어로 입력</x:v>
      </x:c>
    </x:row>
    <x:row r="5">
      <x:c r="A5" s="72" t="str">
        <x:v>예: 지역별 매출과 매출이익을 집계하고, 새 요약 시트에 표와 막대차트를 만들어줘.</x:v>
      </x:c>
      <x:c r="B5" s="72"/>
      <x:c r="C5" s="72"/>
      <x:c r="D5" s="72"/>
      <x:c r="E5" s="72"/>
      <x:c r="F5" s="72"/>
      <x:c r="G5" s="72"/>
      <x:c r="H5" s="72"/>
    </x:row>
    <x:row r="6">
      <x:c r="A6" s="72"/>
      <x:c r="B6" s="72"/>
      <x:c r="C6" s="72"/>
      <x:c r="D6" s="72"/>
      <x:c r="E6" s="72"/>
      <x:c r="F6" s="72"/>
      <x:c r="G6" s="72"/>
      <x:c r="H6" s="72"/>
    </x:row>
    <x:row r="8">
      <x:c r="A8" s="32" t="str">
        <x:v>자연어 명령 → 구조화 계획 → xlwings 실행</x:v>
      </x:c>
      <x:c r="B8" s="32"/>
      <x:c r="C8" s="32"/>
      <x:c r="D8" s="32"/>
      <x:c r="E8" s="32"/>
      <x:c r="F8" s="32"/>
      <x:c r="G8" s="32"/>
      <x:c r="H8" s="32"/>
    </x:row>
    <x:row r="9">
      <x:c r="A9" s="6" t="str">
        <x:v>No</x:v>
      </x:c>
      <x:c r="B9" s="6" t="str">
        <x:v>사용자 자연어 명령</x:v>
      </x:c>
      <x:c r="C9" s="6" t="str">
        <x:v>Intent</x:v>
      </x:c>
      <x:c r="D9" s="6" t="str">
        <x:v>대상</x:v>
      </x:c>
      <x:c r="E9" s="6" t="str">
        <x:v>수행 작업</x:v>
      </x:c>
      <x:c r="F9" s="6" t="str">
        <x:v>검증 규칙</x:v>
      </x:c>
      <x:c r="G9" s="6" t="str">
        <x:v>결과</x:v>
      </x:c>
      <x:c r="H9" s="6" t="str">
        <x:v>난이도</x:v>
      </x:c>
    </x:row>
    <x:row r="10">
      <x:c r="A10" s="12" t="n">
        <x:v>1</x:v>
      </x:c>
      <x:c r="B10" s="77" t="str">
        <x:v>매출 데이터를 날짜 오름차순으로 정렬해줘.</x:v>
      </x:c>
      <x:c r="C10" s="12" t="str">
        <x:v>sort_range</x:v>
      </x:c>
      <x:c r="D10" s="12" t="str">
        <x:v>Sales_Data</x:v>
      </x:c>
      <x:c r="E10" s="77" t="str">
        <x:v>Order_Date 열 기준 전체 표 정렬</x:v>
      </x:c>
      <x:c r="F10" s="77" t="str">
        <x:v>헤더 제외·전체 행 동시 이동</x:v>
      </x:c>
      <x:c r="G10" s="77" t="str">
        <x:v>매출 표 정렬</x:v>
      </x:c>
      <x:c r="H10" s="12" t="str">
        <x:v>기본</x:v>
      </x:c>
    </x:row>
    <x:row r="11">
      <x:c r="A11" s="12" t="n">
        <x:v>2</x:v>
      </x:c>
      <x:c r="B11" s="77" t="str">
        <x:v>10만 원 미만 매출은 연한 빨강으로 표시해줘.</x:v>
      </x:c>
      <x:c r="C11" s="12" t="str">
        <x:v>conditional_format</x:v>
      </x:c>
      <x:c r="D11" s="12" t="str">
        <x:v>Sales_Data</x:v>
      </x:c>
      <x:c r="E11" s="77" t="str">
        <x:v>Sales 열에 조건부서식 추가</x:v>
      </x:c>
      <x:c r="F11" s="77" t="str">
        <x:v>숫자 열·임계값 확인</x:v>
      </x:c>
      <x:c r="G11" s="77" t="str">
        <x:v>저매출 주문 강조</x:v>
      </x:c>
      <x:c r="H11" s="12" t="str">
        <x:v>기본</x:v>
      </x:c>
    </x:row>
    <x:row r="12">
      <x:c r="A12" s="12" t="n">
        <x:v>3</x:v>
      </x:c>
      <x:c r="B12" s="77" t="str">
        <x:v>지역별 매출과 이익을 집계해서 새 시트와 차트를 만들어줘.</x:v>
      </x:c>
      <x:c r="C12" s="12" t="str">
        <x:v>aggregate_report</x:v>
      </x:c>
      <x:c r="D12" s="12" t="str">
        <x:v>Sales_Data</x:v>
      </x:c>
      <x:c r="E12" s="77" t="str">
        <x:v>지역 그룹 집계·표 생성·막대차트 생성</x:v>
      </x:c>
      <x:c r="F12" s="77" t="str">
        <x:v>대상 열 존재·합계 검산</x:v>
      </x:c>
      <x:c r="G12" s="77" t="str">
        <x:v>Regional_Report 생성</x:v>
      </x:c>
      <x:c r="H12" s="12" t="str">
        <x:v>고급</x:v>
      </x:c>
    </x:row>
    <x:row r="13">
      <x:c r="A13" s="12" t="n">
        <x:v>4</x:v>
      </x:c>
      <x:c r="B13" s="77" t="str">
        <x:v>재고가 재주문점 이하인 제품만 강조하고 발주수량을 계산해줘.</x:v>
      </x:c>
      <x:c r="C13" s="12" t="str">
        <x:v>inventory_alert</x:v>
      </x:c>
      <x:c r="D13" s="12" t="str">
        <x:v>Inventory</x:v>
      </x:c>
      <x:c r="E13" s="77" t="str">
        <x:v>IF/MAX 수식·조건부서식 적용</x:v>
      </x:c>
      <x:c r="F13" s="77" t="str">
        <x:v>음수 발주량 금지</x:v>
      </x:c>
      <x:c r="G13" s="77" t="str">
        <x:v>발주 필요 품목 식별</x:v>
      </x:c>
      <x:c r="H13" s="12" t="str">
        <x:v>중급</x:v>
      </x:c>
    </x:row>
    <x:row r="14">
      <x:c r="A14" s="12" t="n">
        <x:v>5</x:v>
      </x:c>
      <x:c r="B14" s="77" t="str">
        <x:v>마감 7일 이내이고 진행률 80% 미만인 업무를 표시해줘.</x:v>
      </x:c>
      <x:c r="C14" s="12" t="str">
        <x:v>project_risk</x:v>
      </x:c>
      <x:c r="D14" s="12" t="str">
        <x:v>Project_Plan</x:v>
      </x:c>
      <x:c r="E14" s="77" t="str">
        <x:v>날짜·진행률 복합 조건부서식</x:v>
      </x:c>
      <x:c r="F14" s="77" t="str">
        <x:v>완료 업무 제외</x:v>
      </x:c>
      <x:c r="G14" s="77" t="str">
        <x:v>위험 업무 강조</x:v>
      </x:c>
      <x:c r="H14" s="12" t="str">
        <x:v>중급</x:v>
      </x:c>
    </x:row>
    <x:row r="15">
      <x:c r="A15" s="12" t="n">
        <x:v>6</x:v>
      </x:c>
      <x:c r="B15" s="77" t="str">
        <x:v>중복 주문번호를 찾아 오류 목록 시트를 만들어줘.</x:v>
      </x:c>
      <x:c r="C15" s="12" t="str">
        <x:v>duplicate_check</x:v>
      </x:c>
      <x:c r="D15" s="12" t="str">
        <x:v>Sales_Data</x:v>
      </x:c>
      <x:c r="E15" s="77" t="str">
        <x:v>Order_ID 중복 탐색·오류 시트 작성</x:v>
      </x:c>
      <x:c r="F15" s="77" t="str">
        <x:v>원본 데이터 미삭제</x:v>
      </x:c>
      <x:c r="G15" s="77" t="str">
        <x:v>Data_Issues 생성</x:v>
      </x:c>
      <x:c r="H15" s="12" t="str">
        <x:v>중급</x:v>
      </x:c>
    </x:row>
    <x:row r="16">
      <x:c r="A16" s="12" t="n">
        <x:v>7</x:v>
      </x:c>
      <x:c r="B16" s="77" t="str">
        <x:v>영업담당자별 월간 실적 순위를 만들어줘.</x:v>
      </x:c>
      <x:c r="C16" s="12" t="str">
        <x:v>ranking_report</x:v>
      </x:c>
      <x:c r="D16" s="12" t="str">
        <x:v>Sales_Data</x:v>
      </x:c>
      <x:c r="E16" s="77" t="str">
        <x:v>월·담당자 그룹 집계·순위 수식</x:v>
      </x:c>
      <x:c r="F16" s="77" t="str">
        <x:v>취소 주문 제외 옵션</x:v>
      </x:c>
      <x:c r="G16" s="77" t="str">
        <x:v>Salesperson_Ranking 생성</x:v>
      </x:c>
      <x:c r="H16" s="12" t="str">
        <x:v>고급</x:v>
      </x:c>
    </x:row>
    <x:row r="17">
      <x:c r="A17" s="12" t="n">
        <x:v>8</x:v>
      </x:c>
      <x:c r="B17" s="77" t="str">
        <x:v>이익률 열을 추가하고 10% 미만이면 경고해줘.</x:v>
      </x:c>
      <x:c r="C17" s="12" t="str">
        <x:v>add_formula_column</x:v>
      </x:c>
      <x:c r="D17" s="12" t="str">
        <x:v>Sales_Data</x:v>
      </x:c>
      <x:c r="E17" s="77" t="str">
        <x:v>Gross_Profit/Sales 수식·경고 서식</x:v>
      </x:c>
      <x:c r="F17" s="77" t="str">
        <x:v>0으로 나누기 방지</x:v>
      </x:c>
      <x:c r="G17" s="77" t="str">
        <x:v>Profit_Margin 생성</x:v>
      </x:c>
      <x:c r="H17" s="12" t="str">
        <x:v>중급</x:v>
      </x:c>
    </x:row>
    <x:row r="18">
      <x:c r="A18" s="12" t="n">
        <x:v>9</x:v>
      </x:c>
      <x:c r="B18" s="77" t="str">
        <x:v>대시보드 KPI와 차트를 최신 데이터까지 갱신해줘.</x:v>
      </x:c>
      <x:c r="C18" s="12" t="str">
        <x:v>refresh_dashboard</x:v>
      </x:c>
      <x:c r="D18" s="12" t="str">
        <x:v>Dashboard</x:v>
      </x:c>
      <x:c r="E18" s="77" t="str">
        <x:v>마지막 행 탐색·수식 범위·차트 원본 갱신</x:v>
      </x:c>
      <x:c r="F18" s="77" t="str">
        <x:v>빈 행·오류 수식 검사</x:v>
      </x:c>
      <x:c r="G18" s="77" t="str">
        <x:v>대시보드 갱신</x:v>
      </x:c>
      <x:c r="H18" s="12" t="str">
        <x:v>고급</x:v>
      </x:c>
    </x:row>
    <x:row r="19">
      <x:c r="A19" s="12" t="n">
        <x:v>10</x:v>
      </x:c>
      <x:c r="B19" s="77" t="str">
        <x:v>현재 파일을 백업한 뒤 수정해줘.</x:v>
      </x:c>
      <x:c r="C19" s="12" t="str">
        <x:v>safe_edit</x:v>
      </x:c>
      <x:c r="D19" s="12" t="str">
        <x:v>Workbook</x:v>
      </x:c>
      <x:c r="E19" s="77" t="str">
        <x:v>타임스탬프 백업·수정·저장</x:v>
      </x:c>
      <x:c r="F19" s="77" t="str">
        <x:v>원본 보존·실패 시 롤백</x:v>
      </x:c>
      <x:c r="G19" s="77" t="str">
        <x:v>백업 파일 생성</x:v>
      </x:c>
      <x:c r="H19" s="12" t="str">
        <x:v>중급</x:v>
      </x:c>
    </x:row>
    <x:row r="20">
      <x:c r="A20" s="12" t="n">
        <x:v>11</x:v>
      </x:c>
      <x:c r="B20" s="77" t="str">
        <x:v>요약 시트를 PDF로 저장해줘.</x:v>
      </x:c>
      <x:c r="C20" s="12" t="str">
        <x:v>export_pdf</x:v>
      </x:c>
      <x:c r="D20" s="12" t="str">
        <x:v>Dashboard</x:v>
      </x:c>
      <x:c r="E20" s="77" t="str">
        <x:v>Excel 네이티브 PDF Export 호출</x:v>
      </x:c>
      <x:c r="F20" s="77" t="str">
        <x:v>출력 경로·인쇄영역 확인</x:v>
      </x:c>
      <x:c r="G20" s="77" t="str">
        <x:v>Dashboard.pdf 생성</x:v>
      </x:c>
      <x:c r="H20" s="12" t="str">
        <x:v>고급</x:v>
      </x:c>
    </x:row>
    <x:row r="21">
      <x:c r="A21" s="12" t="n">
        <x:v>12</x:v>
      </x:c>
      <x:c r="B21" s="77" t="str">
        <x:v>피벗테이블로 채널별·카테고리별 매출을 분석해줘.</x:v>
      </x:c>
      <x:c r="C21" s="12" t="str">
        <x:v>pivot_report</x:v>
      </x:c>
      <x:c r="D21" s="12" t="str">
        <x:v>Sales_Data</x:v>
      </x:c>
      <x:c r="E21" s="77" t="str">
        <x:v>PivotCache/PivotTable 네이티브 API 사용</x:v>
      </x:c>
      <x:c r="F21" s="77" t="str">
        <x:v>플랫폼·Excel 버전 확인</x:v>
      </x:c>
      <x:c r="G21" s="77" t="str">
        <x:v>Pivot_Report 생성</x:v>
      </x:c>
      <x:c r="H21" s="12" t="str">
        <x:v>고급</x:v>
      </x:c>
    </x:row>
    <x:row r="24">
      <x:c r="A24" s="32" t="str">
        <x:v>권장 에이전트 구조</x:v>
      </x:c>
      <x:c r="B24" s="32"/>
      <x:c r="C24" s="32"/>
      <x:c r="D24" s="32"/>
      <x:c r="E24" s="32"/>
      <x:c r="F24" s="32"/>
      <x:c r="G24" s="32"/>
      <x:c r="H24" s="32"/>
    </x:row>
    <x:row r="25">
      <x:c r="A25" s="6" t="str">
        <x:v>단계</x:v>
      </x:c>
      <x:c r="B25" s="6" t="str">
        <x:v>모듈</x:v>
      </x:c>
      <x:c r="C25" s="6" t="str">
        <x:v>입력</x:v>
      </x:c>
      <x:c r="D25" s="6" t="str">
        <x:v>출력</x:v>
      </x:c>
      <x:c r="E25" s="6" t="str">
        <x:v>핵심 역할</x:v>
      </x:c>
      <x:c r="F25" s="6" t="str">
        <x:v>실패 시 처리</x:v>
      </x:c>
      <x:c r="G25" s="6" t="str">
        <x:v>권장 구현</x:v>
      </x:c>
      <x:c r="H25" s="6" t="str">
        <x:v>보안</x:v>
      </x:c>
    </x:row>
    <x:row r="26">
      <x:c r="A26" s="12" t="str">
        <x:v>1</x:v>
      </x:c>
      <x:c r="B26" s="12" t="str">
        <x:v>Workbook Inspector</x:v>
      </x:c>
      <x:c r="C26" s="77" t="str">
        <x:v>엑셀 파일</x:v>
      </x:c>
      <x:c r="D26" s="77" t="str">
        <x:v>시트·범위·표·수식 메타데이터</x:v>
      </x:c>
      <x:c r="E26" s="77" t="str">
        <x:v>현재 문서 구조 파악</x:v>
      </x:c>
      <x:c r="F26" s="77" t="str">
        <x:v>읽기 전용으로 중단</x:v>
      </x:c>
      <x:c r="G26" s="77" t="str">
        <x:v>xlwings read</x:v>
      </x:c>
      <x:c r="H26" s="77" t="str">
        <x:v>수식/민감정보 최소 노출</x:v>
      </x:c>
    </x:row>
    <x:row r="27">
      <x:c r="A27" s="12" t="str">
        <x:v>2</x:v>
      </x:c>
      <x:c r="B27" s="12" t="str">
        <x:v>LLM Planner</x:v>
      </x:c>
      <x:c r="C27" s="77" t="str">
        <x:v>자연어+문서 메타데이터</x:v>
      </x:c>
      <x:c r="D27" s="77" t="str">
        <x:v>ExcelActionPlan JSON</x:v>
      </x:c>
      <x:c r="E27" s="77" t="str">
        <x:v>명령을 구조화</x:v>
      </x:c>
      <x:c r="F27" s="77" t="str">
        <x:v>재질문 또는 거부</x:v>
      </x:c>
      <x:c r="G27" s="77" t="str">
        <x:v>JSON Schema</x:v>
      </x:c>
      <x:c r="H27" s="77" t="str">
        <x:v>임의 Python 생성 금지</x:v>
      </x:c>
    </x:row>
    <x:row r="28">
      <x:c r="A28" s="12" t="str">
        <x:v>3</x:v>
      </x:c>
      <x:c r="B28" s="12" t="str">
        <x:v>Plan Validator</x:v>
      </x:c>
      <x:c r="C28" s="77" t="str">
        <x:v>ActionPlan</x:v>
      </x:c>
      <x:c r="D28" s="77" t="str">
        <x:v>승인된 ActionPlan</x:v>
      </x:c>
      <x:c r="E28" s="77" t="str">
        <x:v>시트·범위·권한·파괴 작업 검사</x:v>
      </x:c>
      <x:c r="F28" s="77" t="str">
        <x:v>작업 차단</x:v>
      </x:c>
      <x:c r="G28" s="77" t="str">
        <x:v>Pydantic/JSON Schema</x:v>
      </x:c>
      <x:c r="H28" s="77" t="str">
        <x:v>화이트리스트</x:v>
      </x:c>
    </x:row>
    <x:row r="29">
      <x:c r="A29" s="12" t="str">
        <x:v>4</x:v>
      </x:c>
      <x:c r="B29" s="12" t="str">
        <x:v>xlwings Executor</x:v>
      </x:c>
      <x:c r="C29" s="77" t="str">
        <x:v>승인된 계획</x:v>
      </x:c>
      <x:c r="D29" s="77" t="str">
        <x:v>수정된 Workbook</x:v>
      </x:c>
      <x:c r="E29" s="77" t="str">
        <x:v>결정적 작업 실행</x:v>
      </x:c>
      <x:c r="F29" s="77" t="str">
        <x:v>트랜잭션 롤백</x:v>
      </x:c>
      <x:c r="G29" s="77" t="str">
        <x:v>xlwings&gt;=0.33</x:v>
      </x:c>
      <x:c r="H29" s="77" t="str">
        <x:v>매크로/API 제한</x:v>
      </x:c>
    </x:row>
    <x:row r="30">
      <x:c r="A30" s="12" t="str">
        <x:v>5</x:v>
      </x:c>
      <x:c r="B30" s="12" t="str">
        <x:v>Result Verifier</x:v>
      </x:c>
      <x:c r="C30" s="77" t="str">
        <x:v>수정 전후 상태</x:v>
      </x:c>
      <x:c r="D30" s="77" t="str">
        <x:v>검증 결과</x:v>
      </x:c>
      <x:c r="E30" s="77" t="str">
        <x:v>수식 오류·행 수·합계 비교</x:v>
      </x:c>
      <x:c r="F30" s="77" t="str">
        <x:v>백업 복구</x:v>
      </x:c>
      <x:c r="G30" s="77" t="str">
        <x:v>검증 규칙</x:v>
      </x:c>
      <x:c r="H30" s="77" t="str">
        <x:v>감사 로그</x:v>
      </x:c>
    </x:row>
    <x:row r="31">
      <x:c r="A31" s="12" t="str">
        <x:v>6</x:v>
      </x:c>
      <x:c r="B31" s="12" t="str">
        <x:v>Audit Logger</x:v>
      </x:c>
      <x:c r="C31" s="77" t="str">
        <x:v>명령·계획·결과</x:v>
      </x:c>
      <x:c r="D31" s="77" t="str">
        <x:v>실행 로그</x:v>
      </x:c>
      <x:c r="E31" s="77" t="str">
        <x:v>재현성과 추적성 확보</x:v>
      </x:c>
      <x:c r="F31" s="77" t="str">
        <x:v>오류 로그 기록</x:v>
      </x:c>
      <x:c r="G31" s="77" t="str">
        <x:v>JSONL/시트 로그</x:v>
      </x:c>
      <x:c r="H31" s="77" t="str">
        <x:v>PII 마스킹</x:v>
      </x:c>
    </x:row>
    <x:row r="34">
      <x:c r="A34" s="32" t="str">
        <x:v>LLM이 생성해야 하는 실행 계획 예시</x:v>
      </x:c>
      <x:c r="B34" s="32"/>
      <x:c r="C34" s="32"/>
      <x:c r="D34" s="32"/>
      <x:c r="E34" s="32"/>
      <x:c r="F34" s="32"/>
      <x:c r="G34" s="32"/>
      <x:c r="H34" s="32"/>
    </x:row>
    <x:row r="35">
      <x:c r="A35" s="82" t="str">
        <x:v>{
  "request_id": "REQ-20260728-001",
  "workbook": "AI_Excel_Automation_Demo.xlsx",
  "intent": "aggregate_report",
  "requires_backup": true,
  "steps": [
    {
      "action": "read_table",
      "sheet": "Sales_Data",
      "table": "SalesTable"
    },
    {
      "action": "group_aggregate",
      "group_by": [
        "Region"
      ],
      "metrics": [
        {
          "column": "Sales",
          "function": "sum",
          "alias": "Revenue"
        },
        {
          "column": "Gross_Profit",
          "function": "sum",
          "alias": "Gross_Profit"
        }
      ]
    },
    {
      "action": "write_sheet",
      "sheet": "Regional_Report",
      "start_cell": "A1"
    },
    {
      "action": "create_chart",
      "sheet": "Regional_Report",
      "chart_type": "column"
    }
  ],
  "verification": [
    "sum(Regional_Report.Revenue) == sum(Sales_Data.Sales)",
    "no_formula_errors",
    "original_sheet_unchanged"
  ]
}</x:v>
      </x:c>
      <x:c r="B35" s="82"/>
      <x:c r="C35" s="82"/>
      <x:c r="D35" s="82"/>
      <x:c r="E35" s="82"/>
      <x:c r="F35" s="82"/>
      <x:c r="G35" s="82"/>
      <x:c r="H35" s="82"/>
    </x:row>
    <x:row r="36">
      <x:c r="A36" s="82"/>
      <x:c r="B36" s="82"/>
      <x:c r="C36" s="82"/>
      <x:c r="D36" s="82"/>
      <x:c r="E36" s="82"/>
      <x:c r="F36" s="82"/>
      <x:c r="G36" s="82"/>
      <x:c r="H36" s="82"/>
    </x:row>
    <x:row r="37">
      <x:c r="A37" s="82"/>
      <x:c r="B37" s="82"/>
      <x:c r="C37" s="82"/>
      <x:c r="D37" s="82"/>
      <x:c r="E37" s="82"/>
      <x:c r="F37" s="82"/>
      <x:c r="G37" s="82"/>
      <x:c r="H37" s="82"/>
    </x:row>
    <x:row r="38">
      <x:c r="A38" s="82"/>
      <x:c r="B38" s="82"/>
      <x:c r="C38" s="82"/>
      <x:c r="D38" s="82"/>
      <x:c r="E38" s="82"/>
      <x:c r="F38" s="82"/>
      <x:c r="G38" s="82"/>
      <x:c r="H38" s="82"/>
    </x:row>
    <x:row r="39">
      <x:c r="A39" s="82"/>
      <x:c r="B39" s="82"/>
      <x:c r="C39" s="82"/>
      <x:c r="D39" s="82"/>
      <x:c r="E39" s="82"/>
      <x:c r="F39" s="82"/>
      <x:c r="G39" s="82"/>
      <x:c r="H39" s="82"/>
    </x:row>
    <x:row r="40">
      <x:c r="A40" s="82"/>
      <x:c r="B40" s="82"/>
      <x:c r="C40" s="82"/>
      <x:c r="D40" s="82"/>
      <x:c r="E40" s="82"/>
      <x:c r="F40" s="82"/>
      <x:c r="G40" s="82"/>
      <x:c r="H40" s="82"/>
    </x:row>
    <x:row r="41">
      <x:c r="A41" s="82"/>
      <x:c r="B41" s="82"/>
      <x:c r="C41" s="82"/>
      <x:c r="D41" s="82"/>
      <x:c r="E41" s="82"/>
      <x:c r="F41" s="82"/>
      <x:c r="G41" s="82"/>
      <x:c r="H41" s="82"/>
    </x:row>
    <x:row r="42">
      <x:c r="A42" s="82"/>
      <x:c r="B42" s="82"/>
      <x:c r="C42" s="82"/>
      <x:c r="D42" s="82"/>
      <x:c r="E42" s="82"/>
      <x:c r="F42" s="82"/>
      <x:c r="G42" s="82"/>
      <x:c r="H42" s="82"/>
    </x:row>
    <x:row r="43">
      <x:c r="A43" s="82"/>
      <x:c r="B43" s="82"/>
      <x:c r="C43" s="82"/>
      <x:c r="D43" s="82"/>
      <x:c r="E43" s="82"/>
      <x:c r="F43" s="82"/>
      <x:c r="G43" s="82"/>
      <x:c r="H43" s="82"/>
    </x:row>
    <x:row r="44">
      <x:c r="A44" s="82"/>
      <x:c r="B44" s="82"/>
      <x:c r="C44" s="82"/>
      <x:c r="D44" s="82"/>
      <x:c r="E44" s="82"/>
      <x:c r="F44" s="82"/>
      <x:c r="G44" s="82"/>
      <x:c r="H44" s="82"/>
    </x:row>
    <x:row r="45">
      <x:c r="A45" s="82"/>
      <x:c r="B45" s="82"/>
      <x:c r="C45" s="82"/>
      <x:c r="D45" s="82"/>
      <x:c r="E45" s="82"/>
      <x:c r="F45" s="82"/>
      <x:c r="G45" s="82"/>
      <x:c r="H45" s="82"/>
    </x:row>
    <x:row r="46">
      <x:c r="A46" s="82"/>
      <x:c r="B46" s="82"/>
      <x:c r="C46" s="82"/>
      <x:c r="D46" s="82"/>
      <x:c r="E46" s="82"/>
      <x:c r="F46" s="82"/>
      <x:c r="G46" s="82"/>
      <x:c r="H46" s="82"/>
    </x:row>
    <x:row r="47">
      <x:c r="A47" s="82"/>
      <x:c r="B47" s="82"/>
      <x:c r="C47" s="82"/>
      <x:c r="D47" s="82"/>
      <x:c r="E47" s="82"/>
      <x:c r="F47" s="82"/>
      <x:c r="G47" s="82"/>
      <x:c r="H47" s="82"/>
    </x:row>
    <x:row r="48">
      <x:c r="A48" s="82"/>
      <x:c r="B48" s="82"/>
      <x:c r="C48" s="82"/>
      <x:c r="D48" s="82"/>
      <x:c r="E48" s="82"/>
      <x:c r="F48" s="82"/>
      <x:c r="G48" s="82"/>
      <x:c r="H48" s="82"/>
    </x:row>
    <x:row r="51">
      <x:c r="A51" s="32" t="str">
        <x:v>참고 문서</x:v>
      </x:c>
      <x:c r="B51" s="32"/>
      <x:c r="C51" s="32"/>
      <x:c r="D51" s="32"/>
      <x:c r="E51" s="32"/>
      <x:c r="F51" s="32"/>
      <x:c r="G51" s="32"/>
      <x:c r="H51" s="32"/>
    </x:row>
    <x:row r="52">
      <x:c r="A52" s="12" t="str">
        <x:v>xlwings Documentation</x:v>
      </x:c>
      <x:c r="B52" s="12" t="str">
        <x:v>https://docs.xlwings.org/en/stable/</x:v>
      </x:c>
    </x:row>
    <x:row r="53">
      <x:c r="A53" s="12" t="str">
        <x:v>xlwings Quickstart</x:v>
      </x:c>
      <x:c r="B53" s="12" t="str">
        <x:v>https://docs.xlwings.org/en/latest/quickstart.html</x:v>
      </x:c>
    </x:row>
    <x:row r="54">
      <x:c r="A54" s="12" t="str">
        <x:v>xlwings Range API</x:v>
      </x:c>
      <x:c r="B54" s="12" t="str">
        <x:v>https://docs.xlwings.org/en/0.33.14/api/range.html</x:v>
      </x:c>
    </x:row>
  </x:sheetData>
  <x:mergeCells>
    <x:mergeCell ref="A1:H2"/>
    <x:mergeCell ref="A5:H6"/>
    <x:mergeCell ref="A8:H8"/>
    <x:mergeCell ref="A24:H24"/>
    <x:mergeCell ref="A34:H34"/>
    <x:mergeCell ref="A35:H48"/>
    <x:mergeCell ref="A51:H5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Regions</x:v>
      </x:c>
      <x:c r="B1" s="6" t="str">
        <x:v>Channels</x:v>
      </x:c>
      <x:c r="C1" s="6" t="str">
        <x:v>Categories</x:v>
      </x:c>
      <x:c r="D1" s="6" t="str">
        <x:v>Order_Status</x:v>
      </x:c>
      <x:c r="E1" s="6" t="str">
        <x:v>Priority</x:v>
      </x:c>
      <x:c r="F1" s="6" t="str">
        <x:v>Task_Status</x:v>
      </x:c>
      <x:c r="G1" s="6" t="str">
        <x:v>Owners</x:v>
      </x:c>
    </x:row>
    <x:row r="2">
      <x:c r="A2" s="12" t="str">
        <x:v>서울</x:v>
      </x:c>
      <x:c r="B2" s="12" t="str">
        <x:v>온라인</x:v>
      </x:c>
      <x:c r="C2" s="12" t="str">
        <x:v>노트북</x:v>
      </x:c>
      <x:c r="D2" s="12" t="str">
        <x:v>배송완료</x:v>
      </x:c>
      <x:c r="E2" s="12" t="str">
        <x:v>긴급</x:v>
      </x:c>
      <x:c r="F2" s="12" t="str">
        <x:v>미착수</x:v>
      </x:c>
      <x:c r="G2" s="12" t="str">
        <x:v>김민준</x:v>
      </x:c>
    </x:row>
    <x:row r="3">
      <x:c r="A3" s="12" t="str">
        <x:v>경기</x:v>
      </x:c>
      <x:c r="B3" s="12" t="str">
        <x:v>오프라인</x:v>
      </x:c>
      <x:c r="C3" s="12" t="str">
        <x:v>모니터</x:v>
      </x:c>
      <x:c r="D3" s="12" t="str">
        <x:v>배송중</x:v>
      </x:c>
      <x:c r="E3" s="12" t="str">
        <x:v>높음</x:v>
      </x:c>
      <x:c r="F3" s="12" t="str">
        <x:v>진행중</x:v>
      </x:c>
      <x:c r="G3" s="12" t="str">
        <x:v>이서연</x:v>
      </x:c>
    </x:row>
    <x:row r="4">
      <x:c r="A4" s="12" t="str">
        <x:v>충청</x:v>
      </x:c>
      <x:c r="B4" s="12" t="str">
        <x:v>B2B</x:v>
      </x:c>
      <x:c r="C4" s="12" t="str">
        <x:v>주변기기</x:v>
      </x:c>
      <x:c r="D4" s="12" t="str">
        <x:v>처리중</x:v>
      </x:c>
      <x:c r="E4" s="12" t="str">
        <x:v>보통</x:v>
      </x:c>
      <x:c r="F4" s="12" t="str">
        <x:v>검토중</x:v>
      </x:c>
      <x:c r="G4" s="12" t="str">
        <x:v>박지훈</x:v>
      </x:c>
    </x:row>
    <x:row r="5">
      <x:c r="A5" s="12" t="str">
        <x:v>영남</x:v>
      </x:c>
      <x:c r="B5" s="12" t="str">
        <x:v>마켓플레이스</x:v>
      </x:c>
      <x:c r="C5" s="12" t="str">
        <x:v>소프트웨어</x:v>
      </x:c>
      <x:c r="D5" s="12" t="str">
        <x:v>취소</x:v>
      </x:c>
      <x:c r="E5" s="12" t="str">
        <x:v>낮음</x:v>
      </x:c>
      <x:c r="F5" s="12" t="str">
        <x:v>완료</x:v>
      </x:c>
      <x:c r="G5" s="12" t="str">
        <x:v>최유진</x:v>
      </x:c>
    </x:row>
    <x:row r="6">
      <x:c r="A6" s="12" t="str">
        <x:v>호남</x:v>
      </x:c>
      <x:c r="B6" s="12"/>
      <x:c r="C6" s="12" t="str">
        <x:v>서버</x:v>
      </x:c>
      <x:c r="D6" s="12"/>
      <x:c r="E6" s="12"/>
      <x:c r="F6" s="12" t="str">
        <x:v>보류</x:v>
      </x:c>
      <x:c r="G6" s="12" t="str">
        <x:v>정하늘</x:v>
      </x:c>
    </x:row>
    <x:row r="7">
      <x:c r="A7" s="12" t="str">
        <x:v>강원</x:v>
      </x:c>
      <x:c r="B7" s="12"/>
      <x:c r="C7" s="12"/>
      <x:c r="D7" s="12"/>
      <x:c r="E7" s="12"/>
      <x:c r="F7" s="12"/>
      <x:c r="G7" s="12" t="str">
        <x:v>오세훈</x:v>
      </x:c>
    </x:row>
  </x:sheetData>
  <x:pageMargins left="0.7" right="0.7" top="0.75" bottom="0.75" header="0.3" footer="0.3"/>
</x:worksheet>
</file>